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4701"/>
  <workbookPr defaultThemeVersion="153222"/>
  <bookViews>
    <workbookView xWindow="-108" yWindow="-108" windowWidth="23256" windowHeight="12576" activeTab="10" tabRatio="946"/>
  </bookViews>
  <sheets>
    <sheet name="مباني سمك نصف طوبة" sheetId="1" r:id="rId1"/>
    <sheet name="بند المحارة الداخلية" sheetId="2" r:id="rId2"/>
    <sheet name="بند المحارة الخارجية " sheetId="3" r:id="rId3"/>
    <sheet name="الوزر و سيكلو" sheetId="4" r:id="rId4"/>
    <sheet name="بند التكسيات و الأرضيات" sheetId="5" r:id="rId5"/>
    <sheet name="الدهانات الداخلية" sheetId="6" r:id="rId6"/>
    <sheet name="الدهانات الخارجية" sheetId="7" r:id="rId7"/>
    <sheet name="الكرانيش" sheetId="8" r:id="rId8"/>
    <sheet name="أعمال النجارة بالعدد " sheetId="9" r:id="rId9"/>
    <sheet name="أعمال النجارة بالمتر المسطح" sheetId="10" r:id="rId10"/>
    <sheet name="أعمال الألمومنيوم" sheetId="11" r:id="rId11"/>
  </sheets>
  <definedNames>
    <definedName name="_xlnm.Print_Area" localSheetId="10">'أعمال الألمومنيوم'!$A$1:$L$7</definedName>
    <definedName name="_xlnm.Print_Area" localSheetId="8">'أعمال النجارة بالعدد '!$A$1:$L$7</definedName>
    <definedName name="_xlnm.Print_Area" localSheetId="9">'أعمال النجارة بالمتر المسطح'!$A$1:$L$7</definedName>
    <definedName name="_xlnm.Print_Area" localSheetId="6">'الدهانات الخارجية'!$A$1:$M$10</definedName>
    <definedName name="_xlnm.Print_Area" localSheetId="5">'الدهانات الداخلية'!$A$1:$M$13</definedName>
    <definedName name="_xlnm.Print_Area" localSheetId="7">الكرانيش!$A$1:$L$7</definedName>
    <definedName name="_xlnm.Print_Area" localSheetId="3">'الوزر و سيكلو'!$A$1:$L$7</definedName>
    <definedName name="_xlnm.Print_Area" localSheetId="4">'بند التكسيات و الأرضيات'!$A$1:$L$14</definedName>
    <definedName name="_xlnm.Print_Area" localSheetId="2">'بند المحارة الخارجية '!$A$1:$M$10</definedName>
    <definedName name="_xlnm.Print_Area" localSheetId="1">'بند المحارة الداخلية'!$A$1:$M$13</definedName>
    <definedName name="_xlnm.Print_Area" localSheetId="0">'مباني سمك نصف طوبة'!$A$1:$L$76</definedName>
  </definedNam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<sst xmlns="http://schemas.openxmlformats.org/spreadsheetml/2006/main" uniqueCount="133" count="133">
  <si>
    <t>رقم البند</t>
  </si>
  <si>
    <t>بيــــــــــــــــــــــــــــــــــــــــــــــــان الأعمال</t>
  </si>
  <si>
    <t xml:space="preserve">الوحدة </t>
  </si>
  <si>
    <t>العدد</t>
  </si>
  <si>
    <t>طول</t>
  </si>
  <si>
    <t>عرض</t>
  </si>
  <si>
    <t>إرتفاع</t>
  </si>
  <si>
    <t>خصم</t>
  </si>
  <si>
    <t>إضافة</t>
  </si>
  <si>
    <t>إجمالي</t>
  </si>
  <si>
    <t>الأبعاد</t>
  </si>
  <si>
    <t>الكميات</t>
  </si>
  <si>
    <t>حصر كميات المباني علي سمك نصف طوبة م2</t>
  </si>
  <si>
    <t>إجمالي مساحة المباني</t>
  </si>
  <si>
    <t>مشروع:</t>
  </si>
  <si>
    <t>المقاول:</t>
  </si>
  <si>
    <t>التاريخ:</t>
  </si>
  <si>
    <t>الدور:</t>
  </si>
  <si>
    <t>حائط علي محور 1-1</t>
  </si>
  <si>
    <t>م2</t>
  </si>
  <si>
    <t>م3</t>
  </si>
  <si>
    <t>ش2</t>
  </si>
  <si>
    <t>ش3</t>
  </si>
  <si>
    <t>حائط علي محو 4-4</t>
  </si>
  <si>
    <t>ب 2</t>
  </si>
  <si>
    <t>حائط علي محو 5-5</t>
  </si>
  <si>
    <t>حائط علي محور 6-6</t>
  </si>
  <si>
    <t>حائط علي محور 7--7</t>
  </si>
  <si>
    <t>حائط بين محو 7-7 و محور 8-8</t>
  </si>
  <si>
    <t>ب1</t>
  </si>
  <si>
    <t>حائط علي محور 8-8</t>
  </si>
  <si>
    <t>حائط بعد محور 8-8</t>
  </si>
  <si>
    <t>بل 1</t>
  </si>
  <si>
    <t>حائط علي محور 3-3</t>
  </si>
  <si>
    <t xml:space="preserve">حائط علي محور أ-أ </t>
  </si>
  <si>
    <t>ب 3</t>
  </si>
  <si>
    <t>حائط علي محور ج-ج</t>
  </si>
  <si>
    <t>حائط علي محو ب-ب</t>
  </si>
  <si>
    <t>حائط علي محور د-د</t>
  </si>
  <si>
    <t>حائط علي محور ه-ه</t>
  </si>
  <si>
    <t>حائط علي محور و-و</t>
  </si>
  <si>
    <t>حائط علي محور ز-ز</t>
  </si>
  <si>
    <t>حصر بند المحارة الداخلية م2</t>
  </si>
  <si>
    <t xml:space="preserve">الفراغ </t>
  </si>
  <si>
    <t>إستقبال و معيشة</t>
  </si>
  <si>
    <t>حصر بياض السقف</t>
  </si>
  <si>
    <t>حصر حوائط</t>
  </si>
  <si>
    <t>خصم بل 1</t>
  </si>
  <si>
    <t>خصم ش 2</t>
  </si>
  <si>
    <t>خصم طرقة</t>
  </si>
  <si>
    <t>غرفة نوم 1</t>
  </si>
  <si>
    <t>خصم ب 2</t>
  </si>
  <si>
    <t>غرفة نوم 2</t>
  </si>
  <si>
    <t>غرفة نوم 3</t>
  </si>
  <si>
    <t>خصم ب 3</t>
  </si>
  <si>
    <t>الطرقة</t>
  </si>
  <si>
    <t>حمام 1</t>
  </si>
  <si>
    <t>حمام 2</t>
  </si>
  <si>
    <t>حمام 3</t>
  </si>
  <si>
    <t>مطبخ</t>
  </si>
  <si>
    <t>تأميم ب 2</t>
  </si>
  <si>
    <t xml:space="preserve">إجمالي مساحة المحارة الداخلية للشقة الواحدة </t>
  </si>
  <si>
    <t>حصر بند المحارة الخارجية  م2</t>
  </si>
  <si>
    <t xml:space="preserve">الواجهة </t>
  </si>
  <si>
    <t>الواجهة الجانبية يسار</t>
  </si>
  <si>
    <t>حصر الواجهة</t>
  </si>
  <si>
    <t>خصم بروز بلكونة يمين</t>
  </si>
  <si>
    <t xml:space="preserve">خصم بروز بلكونة يسار </t>
  </si>
  <si>
    <t>خصم شباك ش1</t>
  </si>
  <si>
    <t>خصم شباك ش2</t>
  </si>
  <si>
    <t>خصم تاج الدروة</t>
  </si>
  <si>
    <t>الواجهة الجانبية يمين</t>
  </si>
  <si>
    <t>إضافة 1</t>
  </si>
  <si>
    <t xml:space="preserve">إضاف2 </t>
  </si>
  <si>
    <t>الواجهة الخلفية</t>
  </si>
  <si>
    <t>الواجهة الأمامية</t>
  </si>
  <si>
    <t>إضافة جلسة بلكونة المتكرر</t>
  </si>
  <si>
    <t>إضافة جلسة بلكونة الأرضي</t>
  </si>
  <si>
    <t>خصم حجر يمين الواجهة</t>
  </si>
  <si>
    <t>خصم قرميد</t>
  </si>
  <si>
    <t>خصم المدخل</t>
  </si>
  <si>
    <t>خصم ب 4</t>
  </si>
  <si>
    <t>إجمالي مساحة المحارة الخارجية لجميع الواجهات</t>
  </si>
  <si>
    <t>الإستقبال</t>
  </si>
  <si>
    <t xml:space="preserve">الطرقة </t>
  </si>
  <si>
    <t>حصر باركية غرفة نوم 1</t>
  </si>
  <si>
    <t>حصر باركية غرفة نوم 2</t>
  </si>
  <si>
    <t>حصر باركية غرفة نوم 3</t>
  </si>
  <si>
    <t>سيراميك أرضيات حمام 1</t>
  </si>
  <si>
    <t>سيراميك أرضيات حمام 2</t>
  </si>
  <si>
    <t>سيراميك أرضيات حمام 3</t>
  </si>
  <si>
    <t>سيراميك حوائط حمام 1</t>
  </si>
  <si>
    <t>خصم ش3</t>
  </si>
  <si>
    <t>خصم ب3</t>
  </si>
  <si>
    <t xml:space="preserve">سيراميك أرضيات المطبخ </t>
  </si>
  <si>
    <t>سيراميك حوائط حمام 2</t>
  </si>
  <si>
    <t>سيراميك حوائط حمام 3</t>
  </si>
  <si>
    <t>سيراميك حوائط مطبخ</t>
  </si>
  <si>
    <t>خصم ش2</t>
  </si>
  <si>
    <t>حصر بند التكسيات و الأرضيات م2</t>
  </si>
  <si>
    <t xml:space="preserve">حصر بند الوز بالمتر الطولي </t>
  </si>
  <si>
    <t xml:space="preserve">وزر رخام أرضيات الإستقبال و الطرقة </t>
  </si>
  <si>
    <t xml:space="preserve">خصم طرقة </t>
  </si>
  <si>
    <t xml:space="preserve">وزر سيراميك غرفة نوم 1 </t>
  </si>
  <si>
    <t>خصم ب2 + عدد 2 كرسي</t>
  </si>
  <si>
    <t>وزر سيراميك غرفة نوم 2</t>
  </si>
  <si>
    <t>وزر سيراميك غرفة نوم 3</t>
  </si>
  <si>
    <t>خصم ب3 + عدد 2 كرسي</t>
  </si>
  <si>
    <t>خصم ب1 + عدد 2 كرسي</t>
  </si>
  <si>
    <t>خصم بل 1 + عدد 2 كرسي</t>
  </si>
  <si>
    <t>وزر سيراميك بلكونة 1</t>
  </si>
  <si>
    <t>معابر رخام ب1</t>
  </si>
  <si>
    <t>معابر رخام ب2</t>
  </si>
  <si>
    <t>معابر رخام ب3</t>
  </si>
  <si>
    <t>معابر رخام بل1</t>
  </si>
  <si>
    <t>إجمالي مساحة الدهانات الخارجية لجميع الواجهات</t>
  </si>
  <si>
    <t>حصر بند الدهانات الخارجية  م2</t>
  </si>
  <si>
    <t xml:space="preserve">إجمالي مساحة المحارة الدهانات للشقة الواحدة </t>
  </si>
  <si>
    <t>حصر بند المحارة الدهانات م2</t>
  </si>
  <si>
    <t xml:space="preserve">كرانيش الإستقبال و الطرقة </t>
  </si>
  <si>
    <t xml:space="preserve">كرانيش غرفة نوم 1 </t>
  </si>
  <si>
    <t>كرانيش غرفة نوم 2</t>
  </si>
  <si>
    <t>كرانيش غرفة نوم 3</t>
  </si>
  <si>
    <t>كرانيش مطبخ</t>
  </si>
  <si>
    <t>كرانيش حمام 1</t>
  </si>
  <si>
    <t>كرانيش حمام 2</t>
  </si>
  <si>
    <t>كرانيش حمام 3</t>
  </si>
  <si>
    <t xml:space="preserve">حصر بند الكرانيش بالمتر الطولي </t>
  </si>
  <si>
    <t>حصر بند أعمال النجارة بالعدد</t>
  </si>
  <si>
    <t>ب 1</t>
  </si>
  <si>
    <t>ش 1</t>
  </si>
  <si>
    <t>ش 2</t>
  </si>
  <si>
    <t>ش 3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</si>
</sst>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name val="Calibri"/>
      <sz val="11"/>
    </font>
    <font>
      <name val="Calibri"/>
      <sz val="11"/>
      <color rgb="FF000000"/>
    </font>
    <font>
      <name val="Calibri"/>
      <b/>
      <sz val="12"/>
      <color rgb="FF000000"/>
    </font>
    <font>
      <name val="Calibri"/>
      <b/>
      <sz val="16"/>
      <color rgb="FF000000"/>
    </font>
    <font>
      <name val="Calibri"/>
      <b/>
      <sz val="14"/>
      <color rgb="FF000000"/>
    </font>
    <font>
      <name val="Calibri"/>
      <b/>
      <sz val="14"/>
      <color rgb="FFFF0000"/>
    </font>
    <font>
      <name val="Calibri"/>
      <b/>
      <u/>
      <sz val="16"/>
      <color rgb="FF000000"/>
    </font>
    <font>
      <name val="Calibri"/>
      <sz val="11"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6" xfId="0" applyFill="1" applyBorder="1" applyAlignment="1">
      <alignment horizontal="center" vertical="center"/>
    </xf>
    <xf numFmtId="0" fontId="1" fillId="2" borderId="7" xfId="0" applyFill="1" applyBorder="1" applyAlignment="1">
      <alignment horizontal="center" vertical="center"/>
    </xf>
    <xf numFmtId="0" fontId="1" fillId="2" borderId="8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2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2" borderId="29" xfId="0" applyFont="1" applyFill="1" applyBorder="1">
      <alignment vertical="center"/>
    </xf>
    <xf numFmtId="0" fontId="4" fillId="2" borderId="30" xfId="0" applyFont="1" applyFill="1" applyBorder="1">
      <alignment vertical="center"/>
    </xf>
    <xf numFmtId="0" fontId="4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1:L75"/>
  <sheetViews>
    <sheetView workbookViewId="0" zoomScale="85">
      <selection activeCell="D18" sqref="D18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31.0" style="1"/>
    <col min="4" max="4" customWidth="1" width="11.777344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3.5546875" style="1"/>
    <col min="13" max="13" customWidth="1" width="8.886719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3"/>
      <c r="D2" s="3"/>
      <c r="E2" s="3"/>
      <c r="F2" s="3"/>
      <c r="G2" s="3" t="s">
        <v>17</v>
      </c>
      <c r="H2" s="4"/>
      <c r="I2" s="4"/>
      <c r="J2" s="4"/>
      <c r="K2" s="5"/>
    </row>
    <row r="3" spans="8:8" ht="25.8" customHeight="1">
      <c r="B3" s="6" t="s">
        <v>15</v>
      </c>
      <c r="C3" s="7"/>
      <c r="D3" s="7"/>
      <c r="E3" s="7"/>
      <c r="F3" s="7"/>
      <c r="G3" s="7" t="s">
        <v>16</v>
      </c>
      <c r="H3" s="8"/>
      <c r="I3" s="8"/>
      <c r="J3" s="8"/>
      <c r="K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8:8" ht="28.2" customHeight="1">
      <c r="B5" s="13" t="s">
        <v>12</v>
      </c>
      <c r="C5" s="14"/>
      <c r="D5" s="14"/>
      <c r="E5" s="14"/>
      <c r="F5" s="14"/>
      <c r="G5" s="14"/>
      <c r="H5" s="14"/>
      <c r="I5" s="14"/>
      <c r="J5" s="14"/>
      <c r="K5" s="15"/>
    </row>
    <row r="6" spans="8:8" ht="23.4" customHeight="1">
      <c r="B6" s="16" t="s">
        <v>0</v>
      </c>
      <c r="C6" s="17" t="s">
        <v>1</v>
      </c>
      <c r="D6" s="17" t="s">
        <v>2</v>
      </c>
      <c r="E6" s="18" t="s">
        <v>3</v>
      </c>
      <c r="F6" s="19" t="s">
        <v>10</v>
      </c>
      <c r="G6" s="20"/>
      <c r="H6" s="21"/>
      <c r="I6" s="19" t="s">
        <v>11</v>
      </c>
      <c r="J6" s="20"/>
      <c r="K6" s="21"/>
    </row>
    <row r="7" spans="8:8" ht="27.6" customHeight="1">
      <c r="B7" s="22"/>
      <c r="C7" s="23"/>
      <c r="D7" s="23"/>
      <c r="E7" s="24"/>
      <c r="F7" s="25" t="s">
        <v>4</v>
      </c>
      <c r="G7" s="26" t="s">
        <v>5</v>
      </c>
      <c r="H7" s="27" t="s">
        <v>6</v>
      </c>
      <c r="I7" s="25" t="s">
        <v>7</v>
      </c>
      <c r="J7" s="26" t="s">
        <v>8</v>
      </c>
      <c r="K7" s="27" t="s">
        <v>9</v>
      </c>
    </row>
    <row r="8" spans="8:8" ht="23.4" customHeight="1">
      <c r="B8" s="28">
        <v>1.0</v>
      </c>
      <c r="C8" s="29" t="s">
        <v>18</v>
      </c>
      <c r="D8" s="30" t="s">
        <v>19</v>
      </c>
      <c r="E8" s="30">
        <v>1.0</v>
      </c>
      <c r="F8" s="30">
        <v>0.37</v>
      </c>
      <c r="G8" s="30"/>
      <c r="H8" s="30">
        <f>3-0.7</f>
        <v>2.3</v>
      </c>
      <c r="I8" s="30"/>
      <c r="J8" s="30">
        <f>H8*F8*E8</f>
        <v>0.851</v>
      </c>
      <c r="K8" s="31">
        <f>J8-I8</f>
        <v>0.851</v>
      </c>
    </row>
    <row r="9" spans="8:8" ht="23.4" customHeight="1">
      <c r="B9" s="28">
        <v>2.0</v>
      </c>
      <c r="C9" s="29"/>
      <c r="D9" s="32" t="s">
        <v>19</v>
      </c>
      <c r="E9" s="32">
        <v>1.0</v>
      </c>
      <c r="F9" s="32">
        <v>5.5</v>
      </c>
      <c r="G9" s="32"/>
      <c r="H9" s="30">
        <f t="shared" si="0" ref="H9:H10">3-0.7</f>
        <v>2.3</v>
      </c>
      <c r="I9" s="32"/>
      <c r="J9" s="30">
        <f t="shared" si="1" ref="J9:J10">H9*F9*E9</f>
        <v>12.649999999999999</v>
      </c>
      <c r="K9" s="31">
        <f t="shared" si="2" ref="K9:K29">J9-I9</f>
        <v>12.65</v>
      </c>
    </row>
    <row r="10" spans="8:8" ht="23.4" customHeight="1">
      <c r="B10" s="28">
        <v>3.0</v>
      </c>
      <c r="C10" s="33"/>
      <c r="D10" s="32" t="s">
        <v>19</v>
      </c>
      <c r="E10" s="32">
        <v>1.0</v>
      </c>
      <c r="F10" s="32">
        <v>5.8</v>
      </c>
      <c r="G10" s="32"/>
      <c r="H10" s="30">
        <f t="shared" si="0"/>
        <v>2.3</v>
      </c>
      <c r="I10" s="32"/>
      <c r="J10" s="30">
        <f t="shared" si="1"/>
        <v>13.339999999999998</v>
      </c>
      <c r="K10" s="31">
        <f t="shared" si="2"/>
        <v>13.34</v>
      </c>
    </row>
    <row r="11" spans="8:8" ht="23.4" customHeight="1">
      <c r="B11" s="28">
        <v>4.0</v>
      </c>
      <c r="C11" s="34" t="s">
        <v>21</v>
      </c>
      <c r="D11" s="34" t="s">
        <v>19</v>
      </c>
      <c r="E11" s="34">
        <v>2.0</v>
      </c>
      <c r="F11" s="34">
        <v>1.2</v>
      </c>
      <c r="G11" s="34">
        <v>1.2</v>
      </c>
      <c r="H11" s="34"/>
      <c r="I11" s="34">
        <f>G11*F11*E11</f>
        <v>2.88</v>
      </c>
      <c r="J11" s="34"/>
      <c r="K11" s="35">
        <f t="shared" si="2"/>
        <v>-2.88</v>
      </c>
    </row>
    <row r="12" spans="8:8" ht="23.4" customHeight="1">
      <c r="B12" s="28">
        <v>5.0</v>
      </c>
      <c r="C12" s="34" t="s">
        <v>22</v>
      </c>
      <c r="D12" s="34" t="s">
        <v>19</v>
      </c>
      <c r="E12" s="34">
        <v>2.0</v>
      </c>
      <c r="F12" s="34">
        <v>0.8</v>
      </c>
      <c r="G12" s="34">
        <v>0.8</v>
      </c>
      <c r="H12" s="34"/>
      <c r="I12" s="34">
        <f>G12*F12*E12</f>
        <v>1.2800000000000002</v>
      </c>
      <c r="J12" s="34"/>
      <c r="K12" s="35">
        <f t="shared" si="2"/>
        <v>-1.28</v>
      </c>
    </row>
    <row r="13" spans="8:8" ht="23.4" customHeight="1">
      <c r="B13" s="28">
        <v>6.0</v>
      </c>
      <c r="C13" s="36" t="s">
        <v>33</v>
      </c>
      <c r="D13" s="32" t="s">
        <v>19</v>
      </c>
      <c r="E13" s="32">
        <v>1.0</v>
      </c>
      <c r="F13" s="32">
        <v>3.41</v>
      </c>
      <c r="G13" s="32"/>
      <c r="H13" s="32">
        <v>2.75</v>
      </c>
      <c r="I13" s="32"/>
      <c r="J13" s="30">
        <f>H13*F13*E13</f>
        <v>9.377500000000001</v>
      </c>
      <c r="K13" s="31">
        <f t="shared" si="2"/>
        <v>9.3775</v>
      </c>
    </row>
    <row r="14" spans="8:8" ht="23.4" customHeight="1">
      <c r="B14" s="28">
        <v>7.0</v>
      </c>
      <c r="C14" s="33"/>
      <c r="D14" s="32" t="s">
        <v>19</v>
      </c>
      <c r="E14" s="32">
        <v>1.0</v>
      </c>
      <c r="F14" s="32">
        <v>3.16</v>
      </c>
      <c r="G14" s="32"/>
      <c r="H14" s="32">
        <v>2.75</v>
      </c>
      <c r="I14" s="32"/>
      <c r="J14" s="30">
        <f t="shared" si="3" ref="J14:J29">H14*F14*E14</f>
        <v>8.690000000000001</v>
      </c>
      <c r="K14" s="31">
        <f t="shared" si="2"/>
        <v>8.69</v>
      </c>
    </row>
    <row r="15" spans="8:8" ht="23.4" customHeight="1">
      <c r="B15" s="28">
        <v>8.0</v>
      </c>
      <c r="C15" s="36" t="s">
        <v>23</v>
      </c>
      <c r="D15" s="32" t="s">
        <v>19</v>
      </c>
      <c r="E15" s="32">
        <v>1.0</v>
      </c>
      <c r="F15" s="32">
        <v>2.91</v>
      </c>
      <c r="G15" s="32"/>
      <c r="H15" s="32">
        <v>2.75</v>
      </c>
      <c r="I15" s="32"/>
      <c r="J15" s="30">
        <f t="shared" si="3"/>
        <v>8.002500000000001</v>
      </c>
      <c r="K15" s="31">
        <f t="shared" si="2"/>
        <v>8.0025</v>
      </c>
    </row>
    <row r="16" spans="8:8" ht="23.4" customHeight="1">
      <c r="B16" s="28">
        <v>9.0</v>
      </c>
      <c r="C16" s="33"/>
      <c r="D16" s="32" t="s">
        <v>19</v>
      </c>
      <c r="E16" s="32">
        <v>1.0</v>
      </c>
      <c r="F16" s="32">
        <v>2.91</v>
      </c>
      <c r="G16" s="32"/>
      <c r="H16" s="32">
        <v>2.75</v>
      </c>
      <c r="I16" s="32"/>
      <c r="J16" s="30">
        <f t="shared" si="3"/>
        <v>8.002500000000001</v>
      </c>
      <c r="K16" s="31">
        <f t="shared" si="2"/>
        <v>8.0025</v>
      </c>
    </row>
    <row r="17" spans="8:8" ht="23.4" customHeight="1">
      <c r="B17" s="28">
        <v>10.0</v>
      </c>
      <c r="C17" s="34" t="s">
        <v>24</v>
      </c>
      <c r="D17" s="34" t="s">
        <v>19</v>
      </c>
      <c r="E17" s="34">
        <v>2.0</v>
      </c>
      <c r="F17" s="34">
        <v>0.9</v>
      </c>
      <c r="G17" s="34">
        <v>2.2</v>
      </c>
      <c r="H17" s="34"/>
      <c r="I17" s="34">
        <f>G17*F17*E17</f>
        <v>3.9600000000000004</v>
      </c>
      <c r="J17" s="34"/>
      <c r="K17" s="35">
        <f t="shared" si="2"/>
        <v>-3.96</v>
      </c>
    </row>
    <row r="18" spans="8:8" ht="23.4" customHeight="1">
      <c r="B18" s="28">
        <v>11.0</v>
      </c>
      <c r="C18" s="36" t="s">
        <v>25</v>
      </c>
      <c r="D18" s="32" t="s">
        <v>19</v>
      </c>
      <c r="E18" s="32">
        <v>1.0</v>
      </c>
      <c r="F18" s="32">
        <v>0.25</v>
      </c>
      <c r="G18" s="32"/>
      <c r="H18" s="32">
        <v>2.75</v>
      </c>
      <c r="I18" s="32"/>
      <c r="J18" s="30">
        <f t="shared" si="3"/>
        <v>0.6875</v>
      </c>
      <c r="K18" s="31">
        <f t="shared" si="2"/>
        <v>0.6875</v>
      </c>
    </row>
    <row r="19" spans="8:8" ht="23.4" customHeight="1">
      <c r="B19" s="28">
        <v>12.0</v>
      </c>
      <c r="C19" s="29"/>
      <c r="D19" s="32" t="s">
        <v>19</v>
      </c>
      <c r="E19" s="32">
        <v>1.0</v>
      </c>
      <c r="F19" s="32">
        <v>2.56</v>
      </c>
      <c r="G19" s="32"/>
      <c r="H19" s="32">
        <v>2.75</v>
      </c>
      <c r="I19" s="32"/>
      <c r="J19" s="30">
        <f t="shared" si="3"/>
        <v>7.04</v>
      </c>
      <c r="K19" s="31">
        <f t="shared" si="2"/>
        <v>7.04</v>
      </c>
    </row>
    <row r="20" spans="8:8" ht="23.4" customHeight="1">
      <c r="B20" s="28">
        <v>13.0</v>
      </c>
      <c r="C20" s="29"/>
      <c r="D20" s="32" t="s">
        <v>19</v>
      </c>
      <c r="E20" s="32">
        <v>1.0</v>
      </c>
      <c r="F20" s="32">
        <v>3.34</v>
      </c>
      <c r="G20" s="32"/>
      <c r="H20" s="32">
        <v>2.3</v>
      </c>
      <c r="I20" s="32"/>
      <c r="J20" s="30">
        <f t="shared" si="3"/>
        <v>7.6819999999999995</v>
      </c>
      <c r="K20" s="31">
        <f t="shared" si="2"/>
        <v>7.682</v>
      </c>
    </row>
    <row r="21" spans="8:8" ht="23.4" customHeight="1">
      <c r="B21" s="28">
        <v>14.0</v>
      </c>
      <c r="C21" s="33"/>
      <c r="D21" s="32" t="s">
        <v>19</v>
      </c>
      <c r="E21" s="32">
        <v>1.0</v>
      </c>
      <c r="F21" s="32">
        <v>2.56</v>
      </c>
      <c r="G21" s="32"/>
      <c r="H21" s="32">
        <v>2.75</v>
      </c>
      <c r="I21" s="32"/>
      <c r="J21" s="30">
        <f t="shared" si="3"/>
        <v>7.04</v>
      </c>
      <c r="K21" s="31">
        <f t="shared" si="2"/>
        <v>7.04</v>
      </c>
    </row>
    <row r="22" spans="8:8" ht="23.4" customHeight="1">
      <c r="B22" s="28">
        <v>15.0</v>
      </c>
      <c r="C22" s="34" t="s">
        <v>22</v>
      </c>
      <c r="D22" s="34" t="s">
        <v>19</v>
      </c>
      <c r="E22" s="34">
        <v>2.0</v>
      </c>
      <c r="F22" s="34">
        <v>0.8</v>
      </c>
      <c r="G22" s="34">
        <v>0.8</v>
      </c>
      <c r="H22" s="34"/>
      <c r="I22" s="34">
        <f>G22*F22*E22</f>
        <v>1.2800000000000002</v>
      </c>
      <c r="J22" s="34"/>
      <c r="K22" s="35">
        <f t="shared" si="2"/>
        <v>-1.28</v>
      </c>
    </row>
    <row r="23" spans="8:8" ht="23.4" customHeight="1">
      <c r="B23" s="28">
        <v>16.0</v>
      </c>
      <c r="C23" s="36" t="s">
        <v>26</v>
      </c>
      <c r="D23" s="32" t="s">
        <v>19</v>
      </c>
      <c r="E23" s="32">
        <v>1.0</v>
      </c>
      <c r="F23" s="32">
        <v>0.25</v>
      </c>
      <c r="G23" s="32"/>
      <c r="H23" s="32">
        <v>2.75</v>
      </c>
      <c r="I23" s="32"/>
      <c r="J23" s="30">
        <f t="shared" si="3"/>
        <v>0.6875</v>
      </c>
      <c r="K23" s="31">
        <f t="shared" si="2"/>
        <v>0.6875</v>
      </c>
    </row>
    <row r="24" spans="8:8" ht="23.4" customHeight="1">
      <c r="B24" s="28">
        <v>17.0</v>
      </c>
      <c r="C24" s="29"/>
      <c r="D24" s="32" t="s">
        <v>19</v>
      </c>
      <c r="E24" s="32">
        <v>1.0</v>
      </c>
      <c r="F24" s="32">
        <v>2.56</v>
      </c>
      <c r="G24" s="32"/>
      <c r="H24" s="32">
        <v>2.75</v>
      </c>
      <c r="I24" s="32"/>
      <c r="J24" s="30">
        <f t="shared" si="3"/>
        <v>7.04</v>
      </c>
      <c r="K24" s="31">
        <f t="shared" si="2"/>
        <v>7.04</v>
      </c>
    </row>
    <row r="25" spans="8:8" ht="23.4" customHeight="1">
      <c r="B25" s="28">
        <v>18.0</v>
      </c>
      <c r="C25" s="29"/>
      <c r="D25" s="32" t="s">
        <v>19</v>
      </c>
      <c r="E25" s="32">
        <v>1.0</v>
      </c>
      <c r="F25" s="32">
        <v>3.34</v>
      </c>
      <c r="G25" s="32"/>
      <c r="H25" s="32">
        <v>2.3</v>
      </c>
      <c r="I25" s="32"/>
      <c r="J25" s="30">
        <f t="shared" si="3"/>
        <v>7.6819999999999995</v>
      </c>
      <c r="K25" s="31">
        <f t="shared" si="2"/>
        <v>7.682</v>
      </c>
    </row>
    <row r="26" spans="8:8" ht="23.4" customHeight="1">
      <c r="B26" s="28">
        <v>19.0</v>
      </c>
      <c r="C26" s="33"/>
      <c r="D26" s="32" t="s">
        <v>19</v>
      </c>
      <c r="E26" s="32">
        <v>1.0</v>
      </c>
      <c r="F26" s="32">
        <v>2.56</v>
      </c>
      <c r="G26" s="32"/>
      <c r="H26" s="32">
        <v>2.75</v>
      </c>
      <c r="I26" s="32"/>
      <c r="J26" s="30">
        <f t="shared" si="3"/>
        <v>7.04</v>
      </c>
      <c r="K26" s="31">
        <f t="shared" si="2"/>
        <v>7.04</v>
      </c>
    </row>
    <row r="27" spans="8:8" ht="23.4" customHeight="1">
      <c r="B27" s="28">
        <v>20.0</v>
      </c>
      <c r="C27" s="37" t="s">
        <v>27</v>
      </c>
      <c r="D27" s="32" t="s">
        <v>19</v>
      </c>
      <c r="E27" s="32">
        <v>1.0</v>
      </c>
      <c r="F27" s="32">
        <v>0.25</v>
      </c>
      <c r="G27" s="32"/>
      <c r="H27" s="32">
        <v>2.75</v>
      </c>
      <c r="I27" s="32"/>
      <c r="J27" s="30">
        <f t="shared" si="3"/>
        <v>0.6875</v>
      </c>
      <c r="K27" s="31">
        <f t="shared" si="2"/>
        <v>0.6875</v>
      </c>
    </row>
    <row r="28" spans="8:8" ht="23.4" customHeight="1">
      <c r="B28" s="28">
        <v>21.0</v>
      </c>
      <c r="C28" s="37"/>
      <c r="D28" s="32" t="s">
        <v>19</v>
      </c>
      <c r="E28" s="32">
        <v>1.0</v>
      </c>
      <c r="F28" s="32">
        <v>2.56</v>
      </c>
      <c r="G28" s="32"/>
      <c r="H28" s="32">
        <v>2.75</v>
      </c>
      <c r="I28" s="32"/>
      <c r="J28" s="30">
        <f t="shared" si="3"/>
        <v>7.04</v>
      </c>
      <c r="K28" s="31">
        <f t="shared" si="2"/>
        <v>7.04</v>
      </c>
    </row>
    <row r="29" spans="8:8" ht="23.4" customHeight="1">
      <c r="B29" s="28">
        <v>22.0</v>
      </c>
      <c r="C29" s="37"/>
      <c r="D29" s="32" t="s">
        <v>19</v>
      </c>
      <c r="E29" s="32">
        <v>1.0</v>
      </c>
      <c r="F29" s="32">
        <v>2.56</v>
      </c>
      <c r="G29" s="32"/>
      <c r="H29" s="32">
        <v>2.75</v>
      </c>
      <c r="I29" s="32"/>
      <c r="J29" s="30">
        <f t="shared" si="3"/>
        <v>7.04</v>
      </c>
      <c r="K29" s="31">
        <f t="shared" si="2"/>
        <v>7.04</v>
      </c>
    </row>
    <row r="30" spans="8:8" ht="23.4" customHeight="1">
      <c r="B30" s="28">
        <v>23.0</v>
      </c>
      <c r="C30" s="36" t="s">
        <v>28</v>
      </c>
      <c r="D30" s="32" t="s">
        <v>19</v>
      </c>
      <c r="E30" s="32">
        <v>1.0</v>
      </c>
      <c r="F30" s="32">
        <v>2.62</v>
      </c>
      <c r="G30" s="32"/>
      <c r="H30" s="32">
        <v>2.75</v>
      </c>
      <c r="I30" s="32"/>
      <c r="J30" s="30">
        <f t="shared" si="4" ref="J30:J36">H30*F30*E30</f>
        <v>7.205</v>
      </c>
      <c r="K30" s="31">
        <f t="shared" si="5" ref="K30:K74">J30-I30</f>
        <v>7.205</v>
      </c>
    </row>
    <row r="31" spans="8:8" ht="23.4" customHeight="1">
      <c r="B31" s="28">
        <v>24.0</v>
      </c>
      <c r="C31" s="29"/>
      <c r="D31" s="32" t="s">
        <v>19</v>
      </c>
      <c r="E31" s="32">
        <v>1.0</v>
      </c>
      <c r="F31" s="32">
        <v>2.74</v>
      </c>
      <c r="G31" s="32"/>
      <c r="H31" s="32">
        <v>2.3</v>
      </c>
      <c r="I31" s="32"/>
      <c r="J31" s="30">
        <f t="shared" si="4"/>
        <v>6.302</v>
      </c>
      <c r="K31" s="31">
        <f t="shared" si="5"/>
        <v>6.302</v>
      </c>
    </row>
    <row r="32" spans="8:8" ht="23.4" customHeight="1">
      <c r="B32" s="28">
        <v>25.0</v>
      </c>
      <c r="C32" s="33"/>
      <c r="D32" s="32" t="s">
        <v>19</v>
      </c>
      <c r="E32" s="32">
        <v>1.0</v>
      </c>
      <c r="F32" s="32">
        <v>2.25</v>
      </c>
      <c r="G32" s="32"/>
      <c r="H32" s="32">
        <v>2.75</v>
      </c>
      <c r="I32" s="32"/>
      <c r="J32" s="30">
        <f t="shared" si="4"/>
        <v>6.1875</v>
      </c>
      <c r="K32" s="31">
        <f t="shared" si="5"/>
        <v>6.1875</v>
      </c>
    </row>
    <row r="33" spans="8:8" ht="23.4" customHeight="1">
      <c r="B33" s="28">
        <v>26.0</v>
      </c>
      <c r="C33" s="38" t="s">
        <v>29</v>
      </c>
      <c r="D33" s="34" t="s">
        <v>19</v>
      </c>
      <c r="E33" s="34">
        <v>2.0</v>
      </c>
      <c r="F33" s="34">
        <v>1.0</v>
      </c>
      <c r="G33" s="34">
        <v>2.2</v>
      </c>
      <c r="H33" s="34"/>
      <c r="I33" s="34">
        <f>G33*F33*E33</f>
        <v>4.4</v>
      </c>
      <c r="J33" s="34"/>
      <c r="K33" s="35">
        <f t="shared" si="5"/>
        <v>-4.4</v>
      </c>
    </row>
    <row r="34" spans="8:8" ht="23.4" customHeight="1">
      <c r="B34" s="28">
        <v>27.0</v>
      </c>
      <c r="C34" s="36" t="s">
        <v>30</v>
      </c>
      <c r="D34" s="32" t="s">
        <v>19</v>
      </c>
      <c r="E34" s="32">
        <v>1.0</v>
      </c>
      <c r="F34" s="32">
        <v>0.25</v>
      </c>
      <c r="G34" s="32"/>
      <c r="H34" s="32">
        <v>2.75</v>
      </c>
      <c r="I34" s="32"/>
      <c r="J34" s="30">
        <f t="shared" si="4"/>
        <v>0.6875</v>
      </c>
      <c r="K34" s="31">
        <f t="shared" si="5"/>
        <v>0.6875</v>
      </c>
    </row>
    <row r="35" spans="8:8" ht="23.4" customHeight="1">
      <c r="B35" s="28">
        <v>28.0</v>
      </c>
      <c r="C35" s="29"/>
      <c r="D35" s="32" t="s">
        <v>19</v>
      </c>
      <c r="E35" s="32">
        <v>1.0</v>
      </c>
      <c r="F35" s="32">
        <v>2.44</v>
      </c>
      <c r="G35" s="32"/>
      <c r="H35" s="32">
        <v>2.75</v>
      </c>
      <c r="I35" s="32"/>
      <c r="J35" s="30">
        <f t="shared" si="4"/>
        <v>6.71</v>
      </c>
      <c r="K35" s="31">
        <f t="shared" si="5"/>
        <v>6.71</v>
      </c>
    </row>
    <row r="36" spans="8:8" ht="23.4" customHeight="1">
      <c r="B36" s="28">
        <v>29.0</v>
      </c>
      <c r="C36" s="33"/>
      <c r="D36" s="32" t="s">
        <v>19</v>
      </c>
      <c r="E36" s="32">
        <v>1.0</v>
      </c>
      <c r="F36" s="32">
        <v>2.86</v>
      </c>
      <c r="G36" s="32"/>
      <c r="H36" s="32">
        <v>2.75</v>
      </c>
      <c r="I36" s="32"/>
      <c r="J36" s="30">
        <f t="shared" si="4"/>
        <v>7.864999999999999</v>
      </c>
      <c r="K36" s="31">
        <f t="shared" si="5"/>
        <v>7.865</v>
      </c>
    </row>
    <row r="37" spans="8:8" ht="23.4" customHeight="1">
      <c r="B37" s="28">
        <v>30.0</v>
      </c>
      <c r="C37" s="38" t="s">
        <v>32</v>
      </c>
      <c r="D37" s="34" t="s">
        <v>19</v>
      </c>
      <c r="E37" s="34">
        <v>2.0</v>
      </c>
      <c r="F37" s="34">
        <v>1.5</v>
      </c>
      <c r="G37" s="34">
        <v>2.2</v>
      </c>
      <c r="H37" s="39"/>
      <c r="I37" s="34">
        <f>G37*F37*E37</f>
        <v>6.6000000000000005</v>
      </c>
      <c r="J37" s="34"/>
      <c r="K37" s="35">
        <f t="shared" si="5"/>
        <v>-6.6</v>
      </c>
    </row>
    <row r="38" spans="8:8" ht="23.4" customHeight="1">
      <c r="B38" s="28">
        <v>31.0</v>
      </c>
      <c r="C38" s="36" t="s">
        <v>31</v>
      </c>
      <c r="D38" s="32" t="s">
        <v>19</v>
      </c>
      <c r="E38" s="32">
        <v>1.0</v>
      </c>
      <c r="F38" s="32">
        <v>3.29</v>
      </c>
      <c r="G38" s="32"/>
      <c r="H38" s="32">
        <v>0.9</v>
      </c>
      <c r="I38" s="32"/>
      <c r="J38" s="30">
        <f t="shared" si="6" ref="J38:J44">H38*F38*E38</f>
        <v>2.9610000000000003</v>
      </c>
      <c r="K38" s="31">
        <f t="shared" si="5"/>
        <v>2.961</v>
      </c>
    </row>
    <row r="39" spans="8:8" ht="23.4" customHeight="1">
      <c r="B39" s="28">
        <v>32.0</v>
      </c>
      <c r="C39" s="29"/>
      <c r="D39" s="32" t="s">
        <v>19</v>
      </c>
      <c r="E39" s="32">
        <v>1.0</v>
      </c>
      <c r="F39" s="32">
        <v>3.04</v>
      </c>
      <c r="G39" s="32"/>
      <c r="H39" s="32">
        <v>2.75</v>
      </c>
      <c r="I39" s="32"/>
      <c r="J39" s="30">
        <f t="shared" si="6"/>
        <v>8.36</v>
      </c>
      <c r="K39" s="31">
        <f t="shared" si="5"/>
        <v>8.36</v>
      </c>
    </row>
    <row r="40" spans="8:8" ht="23.4" customHeight="1">
      <c r="B40" s="28">
        <v>33.0</v>
      </c>
      <c r="C40" s="29"/>
      <c r="D40" s="32" t="s">
        <v>19</v>
      </c>
      <c r="E40" s="32">
        <v>1.0</v>
      </c>
      <c r="F40" s="32">
        <v>3.04</v>
      </c>
      <c r="G40" s="32"/>
      <c r="H40" s="32">
        <v>2.75</v>
      </c>
      <c r="I40" s="32"/>
      <c r="J40" s="30">
        <f t="shared" si="6"/>
        <v>8.36</v>
      </c>
      <c r="K40" s="31">
        <f t="shared" si="5"/>
        <v>8.36</v>
      </c>
    </row>
    <row r="41" spans="8:8" ht="23.4" customHeight="1">
      <c r="B41" s="28">
        <v>34.0</v>
      </c>
      <c r="C41" s="33"/>
      <c r="D41" s="32" t="s">
        <v>19</v>
      </c>
      <c r="E41" s="32">
        <v>1.0</v>
      </c>
      <c r="F41" s="32">
        <v>2.92</v>
      </c>
      <c r="G41" s="32"/>
      <c r="H41" s="32">
        <v>0.9</v>
      </c>
      <c r="I41" s="32"/>
      <c r="J41" s="30">
        <f t="shared" si="6"/>
        <v>2.628</v>
      </c>
      <c r="K41" s="31">
        <f t="shared" si="5"/>
        <v>2.628</v>
      </c>
    </row>
    <row r="42" spans="8:8" ht="23.4" customHeight="1">
      <c r="B42" s="28">
        <v>35.0</v>
      </c>
      <c r="C42" s="38" t="s">
        <v>21</v>
      </c>
      <c r="D42" s="34" t="s">
        <v>19</v>
      </c>
      <c r="E42" s="34">
        <v>1.0</v>
      </c>
      <c r="F42" s="34">
        <v>1.2</v>
      </c>
      <c r="G42" s="34">
        <v>1.2</v>
      </c>
      <c r="H42" s="34"/>
      <c r="I42" s="34">
        <f>G42*F42*E42</f>
        <v>1.44</v>
      </c>
      <c r="J42" s="34"/>
      <c r="K42" s="35">
        <f t="shared" si="5"/>
        <v>-1.44</v>
      </c>
    </row>
    <row r="43" spans="8:8" ht="23.4" customHeight="1">
      <c r="B43" s="28">
        <v>36.0</v>
      </c>
      <c r="C43" s="30" t="s">
        <v>34</v>
      </c>
      <c r="D43" s="32" t="s">
        <v>19</v>
      </c>
      <c r="E43" s="32">
        <v>1.0</v>
      </c>
      <c r="F43" s="32">
        <v>18.8</v>
      </c>
      <c r="G43" s="32"/>
      <c r="H43" s="32">
        <v>2.75</v>
      </c>
      <c r="I43" s="32"/>
      <c r="J43" s="30">
        <f t="shared" si="6"/>
        <v>51.7</v>
      </c>
      <c r="K43" s="31">
        <f t="shared" si="5"/>
        <v>51.7</v>
      </c>
    </row>
    <row r="44" spans="8:8" ht="23.4" customHeight="1">
      <c r="B44" s="28">
        <v>37.0</v>
      </c>
      <c r="C44" s="30"/>
      <c r="D44" s="32"/>
      <c r="E44" s="32">
        <v>1.0</v>
      </c>
      <c r="F44" s="32">
        <v>1.2</v>
      </c>
      <c r="G44" s="32"/>
      <c r="H44" s="32">
        <v>2.3</v>
      </c>
      <c r="I44" s="32"/>
      <c r="J44" s="30">
        <f t="shared" si="6"/>
        <v>2.76</v>
      </c>
      <c r="K44" s="31">
        <f t="shared" si="5"/>
        <v>2.76</v>
      </c>
    </row>
    <row r="45" spans="8:8" ht="23.4" customHeight="1">
      <c r="B45" s="28">
        <v>38.0</v>
      </c>
      <c r="C45" s="38" t="s">
        <v>21</v>
      </c>
      <c r="D45" s="34" t="s">
        <v>19</v>
      </c>
      <c r="E45" s="34">
        <v>3.0</v>
      </c>
      <c r="F45" s="34">
        <v>1.2</v>
      </c>
      <c r="G45" s="34">
        <v>1.2</v>
      </c>
      <c r="H45" s="34"/>
      <c r="I45" s="34">
        <f>G45*F45*E45</f>
        <v>4.32</v>
      </c>
      <c r="J45" s="32"/>
      <c r="K45" s="35">
        <f t="shared" si="5"/>
        <v>-4.32</v>
      </c>
    </row>
    <row r="46" spans="8:8" ht="23.4" customHeight="1">
      <c r="B46" s="28">
        <v>39.0</v>
      </c>
      <c r="C46" s="34" t="s">
        <v>22</v>
      </c>
      <c r="D46" s="34" t="s">
        <v>19</v>
      </c>
      <c r="E46" s="34">
        <v>1.0</v>
      </c>
      <c r="F46" s="34">
        <v>0.8</v>
      </c>
      <c r="G46" s="34">
        <v>0.8</v>
      </c>
      <c r="H46" s="34"/>
      <c r="I46" s="34">
        <f>G46*F46*E46</f>
        <v>0.6400000000000001</v>
      </c>
      <c r="J46" s="32"/>
      <c r="K46" s="35">
        <f t="shared" si="5"/>
        <v>-0.64</v>
      </c>
    </row>
    <row r="47" spans="8:8" ht="23.4" customHeight="1">
      <c r="B47" s="28">
        <v>40.0</v>
      </c>
      <c r="C47" s="36" t="s">
        <v>37</v>
      </c>
      <c r="D47" s="32" t="s">
        <v>19</v>
      </c>
      <c r="E47" s="32">
        <v>1.0</v>
      </c>
      <c r="F47" s="32">
        <v>1.22</v>
      </c>
      <c r="G47" s="32"/>
      <c r="H47" s="32">
        <v>2.75</v>
      </c>
      <c r="I47" s="32"/>
      <c r="J47" s="30">
        <f t="shared" si="7" ref="J47:J48">H47*F47*E47</f>
        <v>3.355</v>
      </c>
      <c r="K47" s="31">
        <f t="shared" si="5"/>
        <v>3.355</v>
      </c>
    </row>
    <row r="48" spans="8:8" ht="23.4" customHeight="1">
      <c r="B48" s="28">
        <v>41.0</v>
      </c>
      <c r="C48" s="33"/>
      <c r="D48" s="32" t="s">
        <v>20</v>
      </c>
      <c r="E48" s="32">
        <v>1.0</v>
      </c>
      <c r="F48" s="32">
        <v>9.31</v>
      </c>
      <c r="G48" s="32"/>
      <c r="H48" s="32">
        <v>2.75</v>
      </c>
      <c r="I48" s="32"/>
      <c r="J48" s="30">
        <f t="shared" si="7"/>
        <v>25.602500000000003</v>
      </c>
      <c r="K48" s="31">
        <f t="shared" si="5"/>
        <v>25.6025</v>
      </c>
    </row>
    <row r="49" spans="8:8" ht="23.4" customHeight="1">
      <c r="B49" s="28">
        <v>42.0</v>
      </c>
      <c r="C49" s="34" t="s">
        <v>35</v>
      </c>
      <c r="D49" s="34" t="s">
        <v>19</v>
      </c>
      <c r="E49" s="34">
        <v>2.0</v>
      </c>
      <c r="F49" s="34">
        <v>0.8</v>
      </c>
      <c r="G49" s="34">
        <v>2.2</v>
      </c>
      <c r="H49" s="34"/>
      <c r="I49" s="34">
        <f>G49*F49*E49</f>
        <v>3.5200000000000005</v>
      </c>
      <c r="J49" s="32"/>
      <c r="K49" s="35">
        <f t="shared" si="5"/>
        <v>-3.52</v>
      </c>
    </row>
    <row r="50" spans="8:8" ht="23.4" customHeight="1">
      <c r="B50" s="28">
        <v>43.0</v>
      </c>
      <c r="C50" s="34" t="s">
        <v>24</v>
      </c>
      <c r="D50" s="34" t="s">
        <v>19</v>
      </c>
      <c r="E50" s="34">
        <v>2.0</v>
      </c>
      <c r="F50" s="34">
        <v>0.9</v>
      </c>
      <c r="G50" s="34">
        <v>2.2</v>
      </c>
      <c r="H50" s="34"/>
      <c r="I50" s="34">
        <f>G50*F50*E50</f>
        <v>3.9600000000000004</v>
      </c>
      <c r="J50" s="32"/>
      <c r="K50" s="35">
        <f t="shared" si="5"/>
        <v>-3.96</v>
      </c>
    </row>
    <row r="51" spans="8:8" ht="23.4" customHeight="1">
      <c r="B51" s="28">
        <v>44.0</v>
      </c>
      <c r="C51" s="36" t="s">
        <v>36</v>
      </c>
      <c r="D51" s="32" t="s">
        <v>19</v>
      </c>
      <c r="E51" s="32">
        <v>1.0</v>
      </c>
      <c r="F51" s="32">
        <v>3.88</v>
      </c>
      <c r="G51" s="32"/>
      <c r="H51" s="32">
        <v>2.3</v>
      </c>
      <c r="I51" s="32"/>
      <c r="J51" s="30">
        <f t="shared" si="8" ref="J51:J54">H51*F51*E51</f>
        <v>8.924</v>
      </c>
      <c r="K51" s="31">
        <f t="shared" si="5"/>
        <v>8.924</v>
      </c>
    </row>
    <row r="52" spans="8:8" ht="23.4" customHeight="1">
      <c r="B52" s="28">
        <v>45.0</v>
      </c>
      <c r="C52" s="29"/>
      <c r="D52" s="32" t="s">
        <v>19</v>
      </c>
      <c r="E52" s="32">
        <v>1.0</v>
      </c>
      <c r="F52" s="32">
        <v>1.74</v>
      </c>
      <c r="G52" s="32"/>
      <c r="H52" s="32">
        <v>2.3</v>
      </c>
      <c r="I52" s="32"/>
      <c r="J52" s="30">
        <f t="shared" si="8"/>
        <v>4.002</v>
      </c>
      <c r="K52" s="31">
        <f t="shared" si="5"/>
        <v>4.002</v>
      </c>
    </row>
    <row r="53" spans="8:8" ht="23.4" customHeight="1">
      <c r="B53" s="28">
        <v>46.0</v>
      </c>
      <c r="C53" s="29"/>
      <c r="D53" s="32" t="s">
        <v>19</v>
      </c>
      <c r="E53" s="32">
        <v>1.0</v>
      </c>
      <c r="F53" s="32">
        <v>2.37</v>
      </c>
      <c r="G53" s="32"/>
      <c r="H53" s="32">
        <v>2.75</v>
      </c>
      <c r="I53" s="32"/>
      <c r="J53" s="30">
        <f t="shared" si="8"/>
        <v>6.5175</v>
      </c>
      <c r="K53" s="31">
        <f t="shared" si="5"/>
        <v>6.5175</v>
      </c>
    </row>
    <row r="54" spans="8:8" ht="23.4" customHeight="1">
      <c r="B54" s="28">
        <v>47.0</v>
      </c>
      <c r="C54" s="33"/>
      <c r="D54" s="32" t="s">
        <v>19</v>
      </c>
      <c r="E54" s="32">
        <v>1.0</v>
      </c>
      <c r="F54" s="32">
        <v>2.12</v>
      </c>
      <c r="G54" s="32"/>
      <c r="H54" s="32">
        <v>2.75</v>
      </c>
      <c r="I54" s="32"/>
      <c r="J54" s="30">
        <f t="shared" si="8"/>
        <v>5.83</v>
      </c>
      <c r="K54" s="31">
        <f t="shared" si="5"/>
        <v>5.83</v>
      </c>
    </row>
    <row r="55" spans="8:8" ht="23.4" customHeight="1">
      <c r="B55" s="28">
        <v>48.0</v>
      </c>
      <c r="C55" s="34" t="s">
        <v>35</v>
      </c>
      <c r="D55" s="34" t="s">
        <v>19</v>
      </c>
      <c r="E55" s="34">
        <v>1.0</v>
      </c>
      <c r="F55" s="34">
        <v>0.8</v>
      </c>
      <c r="G55" s="34">
        <v>2.2</v>
      </c>
      <c r="H55" s="34"/>
      <c r="I55" s="34">
        <f>G55*F55*E55</f>
        <v>1.7600000000000002</v>
      </c>
      <c r="J55" s="32"/>
      <c r="K55" s="35">
        <f t="shared" si="5"/>
        <v>-1.76</v>
      </c>
    </row>
    <row r="56" spans="8:8" ht="23.4" customHeight="1">
      <c r="B56" s="28">
        <v>49.0</v>
      </c>
      <c r="C56" s="36" t="s">
        <v>38</v>
      </c>
      <c r="D56" s="32" t="s">
        <v>19</v>
      </c>
      <c r="E56" s="32">
        <v>1.0</v>
      </c>
      <c r="F56" s="32">
        <v>1.08</v>
      </c>
      <c r="G56" s="32"/>
      <c r="H56" s="32">
        <v>2.75</v>
      </c>
      <c r="I56" s="32"/>
      <c r="J56" s="30">
        <f t="shared" si="9" ref="J56:J62">H56*F56*E56</f>
        <v>2.97</v>
      </c>
      <c r="K56" s="31">
        <f t="shared" si="5"/>
        <v>2.97</v>
      </c>
    </row>
    <row r="57" spans="8:8" ht="23.4" customHeight="1">
      <c r="B57" s="28">
        <v>50.0</v>
      </c>
      <c r="C57" s="29"/>
      <c r="D57" s="32" t="s">
        <v>19</v>
      </c>
      <c r="E57" s="32">
        <v>1.0</v>
      </c>
      <c r="F57" s="32">
        <v>4.27</v>
      </c>
      <c r="G57" s="32"/>
      <c r="H57" s="32">
        <v>2.75</v>
      </c>
      <c r="I57" s="32"/>
      <c r="J57" s="30">
        <f t="shared" si="9"/>
        <v>11.7425</v>
      </c>
      <c r="K57" s="31">
        <f t="shared" si="5"/>
        <v>11.7425</v>
      </c>
    </row>
    <row r="58" spans="8:8" ht="23.4" customHeight="1">
      <c r="B58" s="28">
        <v>51.0</v>
      </c>
      <c r="C58" s="33"/>
      <c r="D58" s="32" t="s">
        <v>19</v>
      </c>
      <c r="E58" s="32">
        <v>1.0</v>
      </c>
      <c r="F58" s="32">
        <v>6.19</v>
      </c>
      <c r="G58" s="32"/>
      <c r="H58" s="32">
        <v>2.75</v>
      </c>
      <c r="I58" s="32"/>
      <c r="J58" s="30">
        <f t="shared" si="9"/>
        <v>17.0225</v>
      </c>
      <c r="K58" s="31">
        <f t="shared" si="5"/>
        <v>17.0225</v>
      </c>
    </row>
    <row r="59" spans="8:8" ht="23.4" customHeight="1">
      <c r="B59" s="28">
        <v>52.0</v>
      </c>
      <c r="C59" s="36" t="s">
        <v>39</v>
      </c>
      <c r="D59" s="32" t="s">
        <v>19</v>
      </c>
      <c r="E59" s="32">
        <v>1.0</v>
      </c>
      <c r="F59" s="32">
        <v>3.88</v>
      </c>
      <c r="G59" s="32"/>
      <c r="H59" s="32">
        <v>2.3</v>
      </c>
      <c r="I59" s="32"/>
      <c r="J59" s="30">
        <f t="shared" si="9"/>
        <v>8.924</v>
      </c>
      <c r="K59" s="31">
        <f t="shared" si="5"/>
        <v>8.924</v>
      </c>
    </row>
    <row r="60" spans="8:8" ht="23.4" customHeight="1">
      <c r="B60" s="28">
        <v>53.0</v>
      </c>
      <c r="C60" s="29"/>
      <c r="D60" s="32" t="s">
        <v>19</v>
      </c>
      <c r="E60" s="32">
        <v>1.0</v>
      </c>
      <c r="F60" s="32">
        <v>1.74</v>
      </c>
      <c r="G60" s="32"/>
      <c r="H60" s="32">
        <v>2.3</v>
      </c>
      <c r="I60" s="32"/>
      <c r="J60" s="30">
        <f t="shared" si="9"/>
        <v>4.002</v>
      </c>
      <c r="K60" s="31">
        <f t="shared" si="5"/>
        <v>4.002</v>
      </c>
    </row>
    <row r="61" spans="8:8" ht="23.4" customHeight="1">
      <c r="B61" s="28">
        <v>54.0</v>
      </c>
      <c r="C61" s="29"/>
      <c r="D61" s="32" t="s">
        <v>19</v>
      </c>
      <c r="E61" s="32">
        <v>1.0</v>
      </c>
      <c r="F61" s="32">
        <v>2.37</v>
      </c>
      <c r="G61" s="32"/>
      <c r="H61" s="32">
        <v>2.75</v>
      </c>
      <c r="I61" s="32"/>
      <c r="J61" s="30">
        <f t="shared" si="9"/>
        <v>6.5175</v>
      </c>
      <c r="K61" s="31">
        <f t="shared" si="5"/>
        <v>6.5175</v>
      </c>
    </row>
    <row r="62" spans="8:8" ht="23.4" customHeight="1">
      <c r="B62" s="28">
        <v>55.0</v>
      </c>
      <c r="C62" s="33"/>
      <c r="D62" s="32" t="s">
        <v>19</v>
      </c>
      <c r="E62" s="32">
        <v>1.0</v>
      </c>
      <c r="F62" s="32">
        <v>2.12</v>
      </c>
      <c r="G62" s="32"/>
      <c r="H62" s="32">
        <v>2.75</v>
      </c>
      <c r="I62" s="32"/>
      <c r="J62" s="30">
        <f t="shared" si="9"/>
        <v>5.83</v>
      </c>
      <c r="K62" s="31">
        <f t="shared" si="5"/>
        <v>5.83</v>
      </c>
    </row>
    <row r="63" spans="8:8" ht="23.4" customHeight="1">
      <c r="B63" s="28">
        <v>56.0</v>
      </c>
      <c r="C63" s="34" t="s">
        <v>35</v>
      </c>
      <c r="D63" s="34" t="s">
        <v>19</v>
      </c>
      <c r="E63" s="34">
        <v>1.0</v>
      </c>
      <c r="F63" s="34">
        <v>0.8</v>
      </c>
      <c r="G63" s="34">
        <v>2.2</v>
      </c>
      <c r="H63" s="34"/>
      <c r="I63" s="34">
        <f>G63*F63*E63</f>
        <v>1.7600000000000002</v>
      </c>
      <c r="J63" s="32"/>
      <c r="K63" s="35">
        <f t="shared" si="5"/>
        <v>-1.76</v>
      </c>
    </row>
    <row r="64" spans="8:8" ht="23.4" customHeight="1">
      <c r="B64" s="28">
        <v>57.0</v>
      </c>
      <c r="C64" s="36" t="s">
        <v>40</v>
      </c>
      <c r="D64" s="32" t="s">
        <v>19</v>
      </c>
      <c r="E64" s="32">
        <v>1.0</v>
      </c>
      <c r="F64" s="32">
        <v>1.22</v>
      </c>
      <c r="G64" s="32"/>
      <c r="H64" s="32">
        <v>2.75</v>
      </c>
      <c r="I64" s="32"/>
      <c r="J64" s="30">
        <f t="shared" si="10" ref="J64:J65">H64*F64*E64</f>
        <v>3.355</v>
      </c>
      <c r="K64" s="31">
        <f t="shared" si="5"/>
        <v>3.355</v>
      </c>
    </row>
    <row r="65" spans="8:8" ht="23.4" customHeight="1">
      <c r="B65" s="28">
        <v>58.0</v>
      </c>
      <c r="C65" s="33"/>
      <c r="D65" s="32" t="s">
        <v>20</v>
      </c>
      <c r="E65" s="32">
        <v>1.0</v>
      </c>
      <c r="F65" s="32">
        <v>9.31</v>
      </c>
      <c r="G65" s="32"/>
      <c r="H65" s="32">
        <v>2.75</v>
      </c>
      <c r="I65" s="32"/>
      <c r="J65" s="30">
        <f t="shared" si="10"/>
        <v>25.602500000000003</v>
      </c>
      <c r="K65" s="31">
        <f t="shared" si="5"/>
        <v>25.6025</v>
      </c>
    </row>
    <row r="66" spans="8:8" ht="23.4" customHeight="1">
      <c r="B66" s="28">
        <v>59.0</v>
      </c>
      <c r="C66" s="34" t="s">
        <v>35</v>
      </c>
      <c r="D66" s="34" t="s">
        <v>19</v>
      </c>
      <c r="E66" s="34">
        <v>2.0</v>
      </c>
      <c r="F66" s="34">
        <v>0.8</v>
      </c>
      <c r="G66" s="34">
        <v>2.2</v>
      </c>
      <c r="H66" s="34"/>
      <c r="I66" s="34">
        <f>G66*F66*E66</f>
        <v>3.5200000000000005</v>
      </c>
      <c r="J66" s="32"/>
      <c r="K66" s="35">
        <f t="shared" si="5"/>
        <v>-3.52</v>
      </c>
    </row>
    <row r="67" spans="8:8" ht="23.4" customHeight="1">
      <c r="B67" s="28">
        <v>60.0</v>
      </c>
      <c r="C67" s="34" t="s">
        <v>24</v>
      </c>
      <c r="D67" s="34" t="s">
        <v>19</v>
      </c>
      <c r="E67" s="34">
        <v>2.0</v>
      </c>
      <c r="F67" s="34">
        <v>0.9</v>
      </c>
      <c r="G67" s="34">
        <v>2.2</v>
      </c>
      <c r="H67" s="34"/>
      <c r="I67" s="34">
        <f>G67*F67*E67</f>
        <v>3.9600000000000004</v>
      </c>
      <c r="J67" s="32"/>
      <c r="K67" s="35">
        <f t="shared" si="5"/>
        <v>-3.96</v>
      </c>
    </row>
    <row r="68" spans="8:8" ht="23.4" customHeight="1">
      <c r="B68" s="28">
        <v>61.0</v>
      </c>
      <c r="C68" s="36" t="s">
        <v>41</v>
      </c>
      <c r="D68" s="32" t="s">
        <v>19</v>
      </c>
      <c r="E68" s="32">
        <v>1.0</v>
      </c>
      <c r="F68" s="32">
        <v>1.2</v>
      </c>
      <c r="G68" s="32"/>
      <c r="H68" s="32">
        <v>2.75</v>
      </c>
      <c r="I68" s="32"/>
      <c r="J68" s="30">
        <f t="shared" si="11" ref="J68:J72">H68*F68*E68</f>
        <v>3.3</v>
      </c>
      <c r="K68" s="31">
        <f t="shared" si="5"/>
        <v>3.3</v>
      </c>
    </row>
    <row r="69" spans="8:8" ht="23.4" customHeight="1">
      <c r="B69" s="28">
        <v>62.0</v>
      </c>
      <c r="C69" s="29"/>
      <c r="D69" s="32" t="s">
        <v>19</v>
      </c>
      <c r="E69" s="32">
        <v>1.0</v>
      </c>
      <c r="F69" s="32">
        <v>5.52</v>
      </c>
      <c r="G69" s="32"/>
      <c r="H69" s="32">
        <v>2.3</v>
      </c>
      <c r="I69" s="32"/>
      <c r="J69" s="30">
        <f t="shared" si="11"/>
        <v>12.695999999999998</v>
      </c>
      <c r="K69" s="31">
        <f t="shared" si="5"/>
        <v>12.696</v>
      </c>
    </row>
    <row r="70" spans="8:8" ht="23.4" customHeight="1">
      <c r="B70" s="28">
        <v>63.0</v>
      </c>
      <c r="C70" s="29"/>
      <c r="D70" s="32" t="s">
        <v>19</v>
      </c>
      <c r="E70" s="32">
        <v>1.0</v>
      </c>
      <c r="F70" s="32">
        <v>1.97</v>
      </c>
      <c r="G70" s="32"/>
      <c r="H70" s="32">
        <v>2.3</v>
      </c>
      <c r="I70" s="32"/>
      <c r="J70" s="30">
        <f t="shared" si="11"/>
        <v>4.531</v>
      </c>
      <c r="K70" s="31">
        <f t="shared" si="5"/>
        <v>4.531</v>
      </c>
    </row>
    <row r="71" spans="8:8" ht="23.4" customHeight="1">
      <c r="B71" s="28">
        <v>64.0</v>
      </c>
      <c r="C71" s="29"/>
      <c r="D71" s="32" t="s">
        <v>19</v>
      </c>
      <c r="E71" s="32">
        <v>1.0</v>
      </c>
      <c r="F71" s="32">
        <v>2.82</v>
      </c>
      <c r="G71" s="32"/>
      <c r="H71" s="32">
        <v>2.3</v>
      </c>
      <c r="I71" s="32"/>
      <c r="J71" s="30">
        <f t="shared" si="11"/>
        <v>6.485999999999999</v>
      </c>
      <c r="K71" s="31">
        <f t="shared" si="5"/>
        <v>6.486</v>
      </c>
    </row>
    <row r="72" spans="8:8" ht="23.4" customHeight="1">
      <c r="B72" s="28">
        <v>65.0</v>
      </c>
      <c r="C72" s="33"/>
      <c r="D72" s="32" t="s">
        <v>19</v>
      </c>
      <c r="E72" s="32">
        <v>1.0</v>
      </c>
      <c r="F72" s="32">
        <v>6.39</v>
      </c>
      <c r="G72" s="32"/>
      <c r="H72" s="32">
        <v>2.3</v>
      </c>
      <c r="I72" s="32"/>
      <c r="J72" s="30">
        <f t="shared" si="11"/>
        <v>14.696999999999997</v>
      </c>
      <c r="K72" s="31">
        <f t="shared" si="5"/>
        <v>14.697</v>
      </c>
    </row>
    <row r="73" spans="8:8" ht="23.4" customHeight="1">
      <c r="B73" s="28">
        <v>66.0</v>
      </c>
      <c r="C73" s="38" t="s">
        <v>21</v>
      </c>
      <c r="D73" s="34" t="s">
        <v>19</v>
      </c>
      <c r="E73" s="34">
        <v>3.0</v>
      </c>
      <c r="F73" s="34">
        <v>1.2</v>
      </c>
      <c r="G73" s="34">
        <v>1.2</v>
      </c>
      <c r="H73" s="34"/>
      <c r="I73" s="34">
        <f>G73*F73*E73</f>
        <v>4.32</v>
      </c>
      <c r="J73" s="32"/>
      <c r="K73" s="35">
        <f t="shared" si="5"/>
        <v>-4.32</v>
      </c>
    </row>
    <row r="74" spans="8:8" ht="23.4" customHeight="1">
      <c r="B74" s="28">
        <v>67.0</v>
      </c>
      <c r="C74" s="34" t="s">
        <v>22</v>
      </c>
      <c r="D74" s="34" t="s">
        <v>19</v>
      </c>
      <c r="E74" s="34">
        <v>1.0</v>
      </c>
      <c r="F74" s="34">
        <v>0.8</v>
      </c>
      <c r="G74" s="34">
        <v>0.8</v>
      </c>
      <c r="H74" s="34"/>
      <c r="I74" s="34">
        <f>G74*F74*E74</f>
        <v>0.6400000000000001</v>
      </c>
      <c r="J74" s="32"/>
      <c r="K74" s="35">
        <f t="shared" si="5"/>
        <v>-0.64</v>
      </c>
    </row>
    <row r="75" spans="8:8" ht="26.4" customHeight="1">
      <c r="B75" s="40" t="s">
        <v>13</v>
      </c>
      <c r="C75" s="41"/>
      <c r="D75" s="41"/>
      <c r="E75" s="41"/>
      <c r="F75" s="41"/>
      <c r="G75" s="41"/>
      <c r="H75" s="41"/>
      <c r="I75" s="42">
        <f>SUM(K8:K74)</f>
        <v>363.9730000000001</v>
      </c>
      <c r="J75" s="43"/>
      <c r="K75" s="44"/>
    </row>
  </sheetData>
  <mergeCells count="26">
    <mergeCell ref="B75:H75"/>
    <mergeCell ref="I75:K75"/>
    <mergeCell ref="C68:C72"/>
    <mergeCell ref="C23:C26"/>
    <mergeCell ref="C8:C10"/>
    <mergeCell ref="C13:C14"/>
    <mergeCell ref="C15:C16"/>
    <mergeCell ref="C18:C21"/>
    <mergeCell ref="C59:C62"/>
    <mergeCell ref="B6:B7"/>
    <mergeCell ref="C64:C65"/>
    <mergeCell ref="D6:D7"/>
    <mergeCell ref="C27:C29"/>
    <mergeCell ref="C47:C48"/>
    <mergeCell ref="C34:C36"/>
    <mergeCell ref="C38:C41"/>
    <mergeCell ref="C30:C32"/>
    <mergeCell ref="C6:C7"/>
    <mergeCell ref="C56:C58"/>
    <mergeCell ref="F6:H6"/>
    <mergeCell ref="I6:K6"/>
    <mergeCell ref="B5:K5"/>
    <mergeCell ref="E6:E7"/>
    <mergeCell ref="C51:C54"/>
    <mergeCell ref="H2:K2"/>
    <mergeCell ref="H3:K3"/>
  </mergeCells>
  <printOptions horizontalCentered="1"/>
  <pageMargins left="0.7" right="0.7" top="0.75" bottom="0.75" header="0.3" footer="0.3"/>
  <pageSetup paperSize="9" scale="38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1:O42"/>
  <sheetViews>
    <sheetView workbookViewId="0" zoomScale="85">
      <selection activeCell="I12" sqref="I12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21.777344" style="1"/>
    <col min="4" max="4" customWidth="1" width="31.0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11.777344" style="1"/>
    <col min="13" max="13" customWidth="1" width="3.5546875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3"/>
      <c r="D2" s="3"/>
      <c r="E2" s="3"/>
      <c r="F2" s="3"/>
      <c r="G2" s="3"/>
      <c r="H2" s="3" t="s">
        <v>17</v>
      </c>
      <c r="I2" s="4"/>
      <c r="J2" s="4"/>
      <c r="K2" s="4"/>
      <c r="L2" s="5"/>
    </row>
    <row r="3" spans="8:8" ht="25.8" customHeight="1">
      <c r="B3" s="6" t="s">
        <v>15</v>
      </c>
      <c r="C3" s="7"/>
      <c r="D3" s="7"/>
      <c r="E3" s="7"/>
      <c r="F3" s="7"/>
      <c r="G3" s="7"/>
      <c r="H3" s="7" t="s">
        <v>16</v>
      </c>
      <c r="I3" s="8"/>
      <c r="J3" s="8"/>
      <c r="K3" s="8"/>
      <c r="L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8:8" ht="28.2" customHeight="1">
      <c r="B5" s="13" t="s">
        <v>42</v>
      </c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8:8" ht="23.4" customHeight="1">
      <c r="B6" s="16" t="s">
        <v>0</v>
      </c>
      <c r="C6" s="17" t="s">
        <v>43</v>
      </c>
      <c r="D6" s="17" t="s">
        <v>1</v>
      </c>
      <c r="E6" s="17" t="s">
        <v>2</v>
      </c>
      <c r="F6" s="18" t="s">
        <v>3</v>
      </c>
      <c r="G6" s="19" t="s">
        <v>10</v>
      </c>
      <c r="H6" s="20"/>
      <c r="I6" s="21"/>
      <c r="J6" s="19" t="s">
        <v>11</v>
      </c>
      <c r="K6" s="20"/>
      <c r="L6" s="21"/>
    </row>
    <row r="7" spans="8:8" ht="27.6" customHeight="1">
      <c r="B7" s="22"/>
      <c r="C7" s="23"/>
      <c r="D7" s="29"/>
      <c r="E7" s="23"/>
      <c r="F7" s="24"/>
      <c r="G7" s="25" t="s">
        <v>4</v>
      </c>
      <c r="H7" s="26" t="s">
        <v>5</v>
      </c>
      <c r="I7" s="27" t="s">
        <v>6</v>
      </c>
      <c r="J7" s="25" t="s">
        <v>7</v>
      </c>
      <c r="K7" s="26" t="s">
        <v>8</v>
      </c>
      <c r="L7" s="27" t="s">
        <v>9</v>
      </c>
    </row>
    <row r="8" spans="8:8" ht="23.4" customHeight="1">
      <c r="B8" s="28">
        <v>1.0</v>
      </c>
      <c r="C8" s="17" t="s">
        <v>44</v>
      </c>
      <c r="D8" s="32" t="s">
        <v>45</v>
      </c>
      <c r="E8" s="30" t="s">
        <v>19</v>
      </c>
      <c r="F8" s="30">
        <v>1.0</v>
      </c>
      <c r="G8" s="45">
        <v>33.83</v>
      </c>
      <c r="H8" s="46"/>
      <c r="I8" s="30"/>
      <c r="J8" s="30"/>
      <c r="K8" s="30">
        <f>G8*F8</f>
        <v>33.83</v>
      </c>
      <c r="L8" s="31">
        <f>K8-J8</f>
        <v>33.83</v>
      </c>
    </row>
    <row r="9" spans="8:8" ht="23.4" customHeight="1">
      <c r="B9" s="28">
        <v>2.0</v>
      </c>
      <c r="C9" s="29"/>
      <c r="D9" s="32" t="s">
        <v>46</v>
      </c>
      <c r="E9" s="32" t="s">
        <v>19</v>
      </c>
      <c r="F9" s="32">
        <v>1.0</v>
      </c>
      <c r="G9" s="32">
        <v>25.54</v>
      </c>
      <c r="H9" s="32"/>
      <c r="I9" s="30">
        <f>3-0.2-0.025-0.1-0.1</f>
        <v>2.5749999999999997</v>
      </c>
      <c r="J9" s="32"/>
      <c r="K9" s="30">
        <f>I9*G9*F9</f>
        <v>65.76549999999999</v>
      </c>
      <c r="L9" s="31">
        <f t="shared" si="0" ref="L9:L35">K9-J9</f>
        <v>65.7655</v>
      </c>
    </row>
    <row r="10" spans="8:8" ht="23.4" customHeight="1">
      <c r="B10" s="28">
        <v>4.0</v>
      </c>
      <c r="C10" s="29"/>
      <c r="D10" s="34" t="s">
        <v>47</v>
      </c>
      <c r="E10" s="34" t="s">
        <v>19</v>
      </c>
      <c r="F10" s="34">
        <v>1.0</v>
      </c>
      <c r="G10" s="34"/>
      <c r="H10" s="34">
        <v>1.5</v>
      </c>
      <c r="I10" s="34">
        <f>2.1</f>
        <v>2.1</v>
      </c>
      <c r="J10" s="34">
        <f>I10*H10*F10</f>
        <v>3.1500000000000004</v>
      </c>
      <c r="K10" s="34"/>
      <c r="L10" s="31">
        <f t="shared" si="0"/>
        <v>-3.15</v>
      </c>
    </row>
    <row r="11" spans="8:8" ht="22.2" customHeight="1">
      <c r="B11" s="28">
        <v>5.0</v>
      </c>
      <c r="C11" s="29"/>
      <c r="D11" s="34" t="s">
        <v>48</v>
      </c>
      <c r="E11" s="34" t="s">
        <v>19</v>
      </c>
      <c r="F11" s="34">
        <v>1.0</v>
      </c>
      <c r="G11" s="34"/>
      <c r="H11" s="34">
        <v>1.2</v>
      </c>
      <c r="I11" s="34">
        <v>1.2</v>
      </c>
      <c r="J11" s="34">
        <f t="shared" si="1" ref="J11:J12">I11*H11*F11</f>
        <v>1.44</v>
      </c>
      <c r="K11" s="34"/>
      <c r="L11" s="31">
        <f t="shared" si="0"/>
        <v>-1.44</v>
      </c>
    </row>
    <row r="12" spans="8:8" ht="26.4" customHeight="1">
      <c r="B12" s="28">
        <v>6.0</v>
      </c>
      <c r="C12" s="29"/>
      <c r="D12" s="34" t="s">
        <v>49</v>
      </c>
      <c r="E12" s="34" t="s">
        <v>19</v>
      </c>
      <c r="F12" s="34">
        <v>1.0</v>
      </c>
      <c r="G12" s="34"/>
      <c r="H12" s="34">
        <v>1.77</v>
      </c>
      <c r="I12" s="34">
        <f>3-0.2-0.025-0.1-0.1</f>
        <v>2.5749999999999997</v>
      </c>
      <c r="J12" s="34">
        <f t="shared" si="1"/>
        <v>4.5577499999999995</v>
      </c>
      <c r="K12" s="34"/>
      <c r="L12" s="31">
        <f t="shared" si="0"/>
        <v>-4.55775</v>
      </c>
    </row>
    <row r="13" spans="8:8" ht="29.4" customHeight="1">
      <c r="B13" s="28">
        <v>7.0</v>
      </c>
      <c r="C13" s="37" t="s">
        <v>50</v>
      </c>
      <c r="D13" s="32" t="s">
        <v>45</v>
      </c>
      <c r="E13" s="30" t="s">
        <v>19</v>
      </c>
      <c r="F13" s="32">
        <v>1.0</v>
      </c>
      <c r="G13" s="47">
        <v>9.8</v>
      </c>
      <c r="H13" s="48"/>
      <c r="I13" s="32"/>
      <c r="J13" s="32"/>
      <c r="K13" s="30">
        <f>G13*F13</f>
        <v>9.8</v>
      </c>
      <c r="L13" s="31">
        <f t="shared" si="0"/>
        <v>9.8</v>
      </c>
    </row>
    <row r="14" spans="8:8" ht="29.4" customHeight="1">
      <c r="B14" s="28">
        <v>8.0</v>
      </c>
      <c r="C14" s="37"/>
      <c r="D14" s="32" t="s">
        <v>46</v>
      </c>
      <c r="E14" s="30" t="s">
        <v>19</v>
      </c>
      <c r="F14" s="32">
        <v>1.0</v>
      </c>
      <c r="G14" s="32">
        <v>12.98</v>
      </c>
      <c r="H14" s="32"/>
      <c r="I14" s="30">
        <f>3-0.2-0.025-0.1-0.1</f>
        <v>2.5749999999999997</v>
      </c>
      <c r="J14" s="32"/>
      <c r="K14" s="30">
        <f>I14*G14*F14</f>
        <v>33.4235</v>
      </c>
      <c r="L14" s="31">
        <f t="shared" si="0"/>
        <v>33.4235</v>
      </c>
    </row>
    <row r="15" spans="8:8" ht="29.4" customHeight="1">
      <c r="B15" s="28">
        <v>9.0</v>
      </c>
      <c r="C15" s="37"/>
      <c r="D15" s="34" t="s">
        <v>51</v>
      </c>
      <c r="E15" s="34" t="s">
        <v>19</v>
      </c>
      <c r="F15" s="34">
        <v>1.0</v>
      </c>
      <c r="G15" s="34"/>
      <c r="H15" s="34">
        <v>0.9</v>
      </c>
      <c r="I15" s="34">
        <v>2.1</v>
      </c>
      <c r="J15" s="34">
        <f>I15*H15*F15</f>
        <v>1.8900000000000001</v>
      </c>
      <c r="K15" s="34"/>
      <c r="L15" s="31">
        <f t="shared" si="0"/>
        <v>-1.89</v>
      </c>
    </row>
    <row r="16" spans="8:8" ht="29.4" customHeight="1">
      <c r="B16" s="28">
        <v>10.0</v>
      </c>
      <c r="C16" s="37"/>
      <c r="D16" s="34" t="s">
        <v>48</v>
      </c>
      <c r="E16" s="34" t="s">
        <v>19</v>
      </c>
      <c r="F16" s="34">
        <v>1.0</v>
      </c>
      <c r="G16" s="34"/>
      <c r="H16" s="34">
        <v>1.2</v>
      </c>
      <c r="I16" s="34">
        <v>1.2</v>
      </c>
      <c r="J16" s="34">
        <f t="shared" si="2" ref="J16">I16*H16*F16</f>
        <v>1.44</v>
      </c>
      <c r="K16" s="34"/>
      <c r="L16" s="31">
        <f t="shared" si="0"/>
        <v>-1.44</v>
      </c>
    </row>
    <row r="17" spans="8:8" ht="29.4" customHeight="1">
      <c r="B17" s="28">
        <v>11.0</v>
      </c>
      <c r="C17" s="37" t="s">
        <v>52</v>
      </c>
      <c r="D17" s="32" t="s">
        <v>45</v>
      </c>
      <c r="E17" s="30" t="s">
        <v>19</v>
      </c>
      <c r="F17" s="32">
        <v>1.0</v>
      </c>
      <c r="G17" s="47">
        <v>11.6</v>
      </c>
      <c r="H17" s="48"/>
      <c r="I17" s="32"/>
      <c r="J17" s="32"/>
      <c r="K17" s="30">
        <f>G17*F17</f>
        <v>11.6</v>
      </c>
      <c r="L17" s="31">
        <f t="shared" si="0"/>
        <v>11.6</v>
      </c>
    </row>
    <row r="18" spans="8:8" ht="29.4" customHeight="1">
      <c r="B18" s="28">
        <v>12.0</v>
      </c>
      <c r="C18" s="37"/>
      <c r="D18" s="32" t="s">
        <v>46</v>
      </c>
      <c r="E18" s="30" t="s">
        <v>19</v>
      </c>
      <c r="F18" s="32">
        <v>1.0</v>
      </c>
      <c r="G18" s="32">
        <v>13.62</v>
      </c>
      <c r="H18" s="32"/>
      <c r="I18" s="30">
        <f>3-0.2-0.025-0.1-0.1</f>
        <v>2.5749999999999997</v>
      </c>
      <c r="J18" s="32"/>
      <c r="K18" s="30">
        <f>I18*G18*F18</f>
        <v>35.07149999999999</v>
      </c>
      <c r="L18" s="31">
        <f t="shared" si="0"/>
        <v>35.0715</v>
      </c>
    </row>
    <row r="19" spans="8:8" ht="29.4" customHeight="1">
      <c r="B19" s="28">
        <v>13.0</v>
      </c>
      <c r="C19" s="37"/>
      <c r="D19" s="34" t="s">
        <v>51</v>
      </c>
      <c r="E19" s="34" t="s">
        <v>19</v>
      </c>
      <c r="F19" s="34">
        <v>1.0</v>
      </c>
      <c r="G19" s="34"/>
      <c r="H19" s="34">
        <v>0.9</v>
      </c>
      <c r="I19" s="34">
        <v>2.1</v>
      </c>
      <c r="J19" s="34">
        <f>I19*H19*F19</f>
        <v>1.8900000000000001</v>
      </c>
      <c r="K19" s="34"/>
      <c r="L19" s="31">
        <f t="shared" si="0"/>
        <v>-1.89</v>
      </c>
      <c r="M19" s="49"/>
      <c r="N19" s="49"/>
    </row>
    <row r="20" spans="8:8" ht="29.4" customHeight="1">
      <c r="B20" s="28">
        <v>14.0</v>
      </c>
      <c r="C20" s="37"/>
      <c r="D20" s="34" t="s">
        <v>48</v>
      </c>
      <c r="E20" s="34" t="s">
        <v>19</v>
      </c>
      <c r="F20" s="34">
        <v>1.0</v>
      </c>
      <c r="G20" s="34"/>
      <c r="H20" s="34">
        <v>1.2</v>
      </c>
      <c r="I20" s="34">
        <v>1.2</v>
      </c>
      <c r="J20" s="34">
        <f t="shared" si="3" ref="J20">I20*H20*F20</f>
        <v>1.44</v>
      </c>
      <c r="K20" s="34"/>
      <c r="L20" s="31">
        <f t="shared" si="0"/>
        <v>-1.44</v>
      </c>
      <c r="M20" s="49"/>
      <c r="N20" s="49"/>
    </row>
    <row r="21" spans="8:8" ht="29.4" customHeight="1">
      <c r="B21" s="28">
        <v>15.0</v>
      </c>
      <c r="C21" s="37" t="s">
        <v>53</v>
      </c>
      <c r="D21" s="32" t="s">
        <v>45</v>
      </c>
      <c r="E21" s="30" t="s">
        <v>19</v>
      </c>
      <c r="F21" s="32">
        <v>1.0</v>
      </c>
      <c r="G21" s="47">
        <v>19.28</v>
      </c>
      <c r="H21" s="48"/>
      <c r="I21" s="32"/>
      <c r="J21" s="32"/>
      <c r="K21" s="30">
        <f>G21*F21</f>
        <v>19.28</v>
      </c>
      <c r="L21" s="31">
        <f t="shared" si="0"/>
        <v>19.28</v>
      </c>
    </row>
    <row r="22" spans="8:8" ht="29.4" customHeight="1">
      <c r="B22" s="28">
        <v>16.0</v>
      </c>
      <c r="C22" s="37"/>
      <c r="D22" s="32" t="s">
        <v>46</v>
      </c>
      <c r="E22" s="30" t="s">
        <v>19</v>
      </c>
      <c r="F22" s="32">
        <v>1.0</v>
      </c>
      <c r="G22" s="32">
        <v>21.64</v>
      </c>
      <c r="H22" s="32"/>
      <c r="I22" s="30">
        <f>3-0.2-0.025-0.1-0.1</f>
        <v>2.5749999999999997</v>
      </c>
      <c r="J22" s="32"/>
      <c r="K22" s="30">
        <f>I22*G22*F22</f>
        <v>55.723</v>
      </c>
      <c r="L22" s="31">
        <f t="shared" si="0"/>
        <v>55.723</v>
      </c>
    </row>
    <row r="23" spans="8:8" ht="29.4" customHeight="1">
      <c r="B23" s="28"/>
      <c r="C23" s="37"/>
      <c r="D23" s="32" t="s">
        <v>60</v>
      </c>
      <c r="E23" s="30" t="s">
        <v>19</v>
      </c>
      <c r="F23" s="32">
        <v>1.0</v>
      </c>
      <c r="G23" s="32">
        <f>2.2+2.2+0.9</f>
        <v>5.300000000000001</v>
      </c>
      <c r="H23" s="32"/>
      <c r="I23" s="30">
        <f>0.12</f>
        <v>0.12</v>
      </c>
      <c r="J23" s="32"/>
      <c r="K23" s="30"/>
      <c r="L23" s="31">
        <f>I23*G23</f>
        <v>0.636</v>
      </c>
    </row>
    <row r="24" spans="8:8" ht="29.4" customHeight="1">
      <c r="B24" s="28">
        <v>17.0</v>
      </c>
      <c r="C24" s="37"/>
      <c r="D24" s="34" t="s">
        <v>51</v>
      </c>
      <c r="E24" s="34" t="s">
        <v>19</v>
      </c>
      <c r="F24" s="34">
        <v>1.0</v>
      </c>
      <c r="G24" s="34"/>
      <c r="H24" s="34">
        <v>0.9</v>
      </c>
      <c r="I24" s="34">
        <v>2.1</v>
      </c>
      <c r="J24" s="34">
        <f t="shared" si="4" ref="J24:J26">I24*H24*F24</f>
        <v>1.8900000000000001</v>
      </c>
      <c r="K24" s="34"/>
      <c r="L24" s="31">
        <f t="shared" si="0"/>
        <v>-1.89</v>
      </c>
      <c r="M24" s="49"/>
    </row>
    <row r="25" spans="8:8" ht="29.4" customHeight="1">
      <c r="B25" s="28">
        <v>18.0</v>
      </c>
      <c r="C25" s="37"/>
      <c r="D25" s="34" t="s">
        <v>54</v>
      </c>
      <c r="E25" s="34" t="s">
        <v>19</v>
      </c>
      <c r="F25" s="34">
        <v>1.0</v>
      </c>
      <c r="G25" s="34"/>
      <c r="H25" s="34">
        <v>0.8</v>
      </c>
      <c r="I25" s="34">
        <v>2.1</v>
      </c>
      <c r="J25" s="34">
        <f t="shared" si="4"/>
        <v>1.6800000000000002</v>
      </c>
      <c r="K25" s="34"/>
      <c r="L25" s="31">
        <f t="shared" si="0"/>
        <v>-1.68</v>
      </c>
      <c r="M25" s="49"/>
    </row>
    <row r="26" spans="8:8" ht="29.4" customHeight="1">
      <c r="B26" s="28">
        <v>19.0</v>
      </c>
      <c r="C26" s="37"/>
      <c r="D26" s="34" t="s">
        <v>48</v>
      </c>
      <c r="E26" s="34" t="s">
        <v>19</v>
      </c>
      <c r="F26" s="34">
        <v>1.0</v>
      </c>
      <c r="G26" s="34"/>
      <c r="H26" s="34">
        <v>1.2</v>
      </c>
      <c r="I26" s="34">
        <v>1.2</v>
      </c>
      <c r="J26" s="34">
        <f t="shared" si="4"/>
        <v>1.44</v>
      </c>
      <c r="K26" s="34"/>
      <c r="L26" s="31">
        <f t="shared" si="0"/>
        <v>-1.44</v>
      </c>
      <c r="M26" s="49"/>
    </row>
    <row r="27" spans="8:8" ht="29.4" customHeight="1">
      <c r="B27" s="28">
        <v>20.0</v>
      </c>
      <c r="C27" s="37" t="s">
        <v>55</v>
      </c>
      <c r="D27" s="32" t="s">
        <v>45</v>
      </c>
      <c r="E27" s="30" t="s">
        <v>19</v>
      </c>
      <c r="F27" s="32">
        <v>1.0</v>
      </c>
      <c r="G27" s="47">
        <v>9.8</v>
      </c>
      <c r="H27" s="48"/>
      <c r="I27" s="32"/>
      <c r="J27" s="32"/>
      <c r="K27" s="30">
        <f>G27*F27</f>
        <v>9.8</v>
      </c>
      <c r="L27" s="31">
        <f t="shared" si="0"/>
        <v>9.8</v>
      </c>
    </row>
    <row r="28" spans="8:8" ht="29.4" customHeight="1">
      <c r="B28" s="28">
        <v>21.0</v>
      </c>
      <c r="C28" s="37"/>
      <c r="D28" s="32" t="s">
        <v>46</v>
      </c>
      <c r="E28" s="30" t="s">
        <v>19</v>
      </c>
      <c r="F28" s="32">
        <v>1.0</v>
      </c>
      <c r="G28" s="32">
        <v>22.2</v>
      </c>
      <c r="H28" s="32"/>
      <c r="I28" s="30">
        <f>3-0.2-0.025-0.1-0.1</f>
        <v>2.5749999999999997</v>
      </c>
      <c r="J28" s="32"/>
      <c r="K28" s="30">
        <f>I28*G28*F28</f>
        <v>57.16499999999999</v>
      </c>
      <c r="L28" s="31">
        <f t="shared" si="0"/>
        <v>57.165</v>
      </c>
    </row>
    <row r="29" spans="8:8" ht="29.4" customHeight="1">
      <c r="B29" s="28">
        <v>22.0</v>
      </c>
      <c r="C29" s="37"/>
      <c r="D29" s="34" t="s">
        <v>49</v>
      </c>
      <c r="E29" s="34" t="s">
        <v>19</v>
      </c>
      <c r="F29" s="34">
        <v>1.0</v>
      </c>
      <c r="G29" s="34"/>
      <c r="H29" s="34">
        <v>1.77</v>
      </c>
      <c r="I29" s="34">
        <f>3-0.2-0.025-0.1-0.1</f>
        <v>2.5749999999999997</v>
      </c>
      <c r="J29" s="34">
        <f t="shared" si="5" ref="J29:J31">I29*H29*F29</f>
        <v>4.5577499999999995</v>
      </c>
      <c r="K29" s="34"/>
      <c r="L29" s="31">
        <f t="shared" si="0"/>
        <v>-4.55775</v>
      </c>
    </row>
    <row r="30" spans="8:8" ht="29.4" customHeight="1">
      <c r="B30" s="28">
        <v>23.0</v>
      </c>
      <c r="C30" s="37"/>
      <c r="D30" s="34" t="s">
        <v>51</v>
      </c>
      <c r="E30" s="34" t="s">
        <v>19</v>
      </c>
      <c r="F30" s="34">
        <v>3.0</v>
      </c>
      <c r="G30" s="50"/>
      <c r="H30" s="34">
        <v>0.9</v>
      </c>
      <c r="I30" s="34">
        <v>2.1</v>
      </c>
      <c r="J30" s="34">
        <f t="shared" si="5"/>
        <v>5.67</v>
      </c>
      <c r="K30" s="50"/>
      <c r="L30" s="31">
        <f t="shared" si="0"/>
        <v>-5.67</v>
      </c>
    </row>
    <row r="31" spans="8:8" ht="29.4" customHeight="1">
      <c r="B31" s="28">
        <v>24.0</v>
      </c>
      <c r="C31" s="37"/>
      <c r="D31" s="34" t="s">
        <v>54</v>
      </c>
      <c r="E31" s="34" t="s">
        <v>19</v>
      </c>
      <c r="F31" s="34">
        <v>3.0</v>
      </c>
      <c r="G31" s="50"/>
      <c r="H31" s="34">
        <v>0.8</v>
      </c>
      <c r="I31" s="34">
        <v>2.1</v>
      </c>
      <c r="J31" s="34">
        <f t="shared" si="5"/>
        <v>5.040000000000001</v>
      </c>
      <c r="K31" s="50"/>
      <c r="L31" s="31">
        <f t="shared" si="0"/>
        <v>-5.04</v>
      </c>
    </row>
    <row r="32" spans="8:8" ht="29.4" customHeight="1">
      <c r="B32" s="28">
        <v>25.0</v>
      </c>
      <c r="C32" s="32" t="s">
        <v>56</v>
      </c>
      <c r="D32" s="32" t="s">
        <v>45</v>
      </c>
      <c r="E32" s="30" t="s">
        <v>19</v>
      </c>
      <c r="F32" s="32">
        <v>1.0</v>
      </c>
      <c r="G32" s="47">
        <v>2.88</v>
      </c>
      <c r="H32" s="48"/>
      <c r="I32" s="32"/>
      <c r="J32" s="32"/>
      <c r="K32" s="30">
        <f t="shared" si="6" ref="K32:K35">G32*F32</f>
        <v>2.88</v>
      </c>
      <c r="L32" s="31">
        <f t="shared" si="0"/>
        <v>2.88</v>
      </c>
    </row>
    <row r="33" spans="8:8" ht="29.4" customHeight="1">
      <c r="B33" s="28">
        <v>26.0</v>
      </c>
      <c r="C33" s="32" t="s">
        <v>57</v>
      </c>
      <c r="D33" s="32" t="s">
        <v>45</v>
      </c>
      <c r="E33" s="30" t="s">
        <v>19</v>
      </c>
      <c r="F33" s="32">
        <v>1.0</v>
      </c>
      <c r="G33" s="47">
        <v>4.03</v>
      </c>
      <c r="H33" s="48"/>
      <c r="I33" s="32"/>
      <c r="J33" s="32"/>
      <c r="K33" s="30">
        <f t="shared" si="6"/>
        <v>4.03</v>
      </c>
      <c r="L33" s="31">
        <f t="shared" si="0"/>
        <v>4.03</v>
      </c>
    </row>
    <row r="34" spans="8:8" ht="29.4" customHeight="1">
      <c r="B34" s="28">
        <v>27.0</v>
      </c>
      <c r="C34" s="32" t="s">
        <v>58</v>
      </c>
      <c r="D34" s="32" t="s">
        <v>45</v>
      </c>
      <c r="E34" s="30" t="s">
        <v>19</v>
      </c>
      <c r="F34" s="32">
        <v>1.0</v>
      </c>
      <c r="G34" s="47">
        <v>3.53</v>
      </c>
      <c r="H34" s="48"/>
      <c r="I34" s="32"/>
      <c r="J34" s="32"/>
      <c r="K34" s="30">
        <f t="shared" si="6"/>
        <v>3.53</v>
      </c>
      <c r="L34" s="31">
        <f t="shared" si="0"/>
        <v>3.53</v>
      </c>
    </row>
    <row r="35" spans="8:8" ht="29.4" customHeight="1">
      <c r="B35" s="28">
        <v>28.0</v>
      </c>
      <c r="C35" s="32" t="s">
        <v>59</v>
      </c>
      <c r="D35" s="32" t="s">
        <v>45</v>
      </c>
      <c r="E35" s="30" t="s">
        <v>19</v>
      </c>
      <c r="F35" s="32">
        <v>1.0</v>
      </c>
      <c r="G35" s="47">
        <v>7.73</v>
      </c>
      <c r="H35" s="48"/>
      <c r="I35" s="32"/>
      <c r="J35" s="32"/>
      <c r="K35" s="30">
        <f t="shared" si="6"/>
        <v>7.73</v>
      </c>
      <c r="L35" s="31">
        <f t="shared" si="0"/>
        <v>7.73</v>
      </c>
    </row>
    <row r="36" spans="8:8" ht="29.4" customHeight="1">
      <c r="B36" s="40" t="s">
        <v>61</v>
      </c>
      <c r="C36" s="41"/>
      <c r="D36" s="41"/>
      <c r="E36" s="41"/>
      <c r="F36" s="41"/>
      <c r="G36" s="41"/>
      <c r="H36" s="41"/>
      <c r="I36" s="41"/>
      <c r="J36" s="42">
        <f>SUM(L8:L35)</f>
        <v>314.1789999999999</v>
      </c>
      <c r="K36" s="43"/>
      <c r="L36" s="44"/>
    </row>
    <row r="37" spans="8:8" ht="29.4" customHeight="1"/>
    <row r="38" spans="8:8" ht="29.4" customHeight="1"/>
    <row r="39" spans="8:8" ht="29.4" customHeight="1"/>
    <row r="40" spans="8:8" ht="29.4" customHeight="1"/>
    <row r="41" spans="8:8" ht="29.4" customHeight="1"/>
    <row r="42" spans="8:8" ht="29.4" customHeight="1"/>
  </sheetData>
  <mergeCells count="26">
    <mergeCell ref="I2:L2"/>
    <mergeCell ref="C17:C20"/>
    <mergeCell ref="G27:H27"/>
    <mergeCell ref="B6:B7"/>
    <mergeCell ref="D6:D7"/>
    <mergeCell ref="E6:E7"/>
    <mergeCell ref="F6:F7"/>
    <mergeCell ref="G6:I6"/>
    <mergeCell ref="J6:L6"/>
    <mergeCell ref="B36:I36"/>
    <mergeCell ref="J36:L36"/>
    <mergeCell ref="C21:C26"/>
    <mergeCell ref="I3:L3"/>
    <mergeCell ref="B5:L5"/>
    <mergeCell ref="C6:C7"/>
    <mergeCell ref="G33:H33"/>
    <mergeCell ref="G13:H13"/>
    <mergeCell ref="G17:H17"/>
    <mergeCell ref="G34:H34"/>
    <mergeCell ref="C8:C12"/>
    <mergeCell ref="C27:C31"/>
    <mergeCell ref="G8:H8"/>
    <mergeCell ref="C13:C16"/>
    <mergeCell ref="G21:H21"/>
    <mergeCell ref="G32:H32"/>
    <mergeCell ref="G35:H35"/>
  </mergeCells>
  <printOptions horizontalCentered="1"/>
  <pageMargins left="0.7" right="0.7" top="0.75" bottom="0.75" header="0.3" footer="0.3"/>
  <pageSetup paperSize="9" scale="38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B1:M30"/>
  <sheetViews>
    <sheetView workbookViewId="0" topLeftCell="A13" zoomScale="85">
      <selection activeCell="G13" sqref="G13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21.777344" style="1"/>
    <col min="4" max="4" customWidth="1" width="31.0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11.777344" style="1"/>
    <col min="13" max="13" customWidth="1" width="3.5546875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/>
      <c r="H2" s="51" t="s">
        <v>17</v>
      </c>
      <c r="I2" s="4"/>
      <c r="J2" s="4"/>
      <c r="K2" s="4"/>
      <c r="L2" s="5"/>
    </row>
    <row r="3" spans="8:8" ht="25.8" customHeight="1">
      <c r="B3" s="6" t="s">
        <v>15</v>
      </c>
      <c r="C3" s="52"/>
      <c r="D3" s="52"/>
      <c r="E3" s="52"/>
      <c r="F3" s="52"/>
      <c r="G3" s="52"/>
      <c r="H3" s="52" t="s">
        <v>16</v>
      </c>
      <c r="I3" s="8"/>
      <c r="J3" s="8"/>
      <c r="K3" s="8"/>
      <c r="L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8:8" ht="28.2" customHeight="1">
      <c r="B5" s="13" t="s">
        <v>62</v>
      </c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8:8" ht="23.4" customHeight="1">
      <c r="B6" s="16" t="s">
        <v>0</v>
      </c>
      <c r="C6" s="17" t="s">
        <v>63</v>
      </c>
      <c r="D6" s="17" t="s">
        <v>1</v>
      </c>
      <c r="E6" s="17" t="s">
        <v>2</v>
      </c>
      <c r="F6" s="18" t="s">
        <v>3</v>
      </c>
      <c r="G6" s="19" t="s">
        <v>10</v>
      </c>
      <c r="H6" s="20"/>
      <c r="I6" s="21"/>
      <c r="J6" s="19" t="s">
        <v>11</v>
      </c>
      <c r="K6" s="20"/>
      <c r="L6" s="21"/>
    </row>
    <row r="7" spans="8:8" ht="27.6" customHeight="1">
      <c r="B7" s="22"/>
      <c r="C7" s="29"/>
      <c r="D7" s="29"/>
      <c r="E7" s="23"/>
      <c r="F7" s="24"/>
      <c r="G7" s="53" t="s">
        <v>4</v>
      </c>
      <c r="H7" s="54" t="s">
        <v>5</v>
      </c>
      <c r="I7" s="27" t="s">
        <v>6</v>
      </c>
      <c r="J7" s="25" t="s">
        <v>7</v>
      </c>
      <c r="K7" s="26" t="s">
        <v>8</v>
      </c>
      <c r="L7" s="27" t="s">
        <v>9</v>
      </c>
    </row>
    <row r="8" spans="8:8" ht="23.4" customHeight="1">
      <c r="B8" s="28">
        <v>1.0</v>
      </c>
      <c r="C8" s="37" t="s">
        <v>64</v>
      </c>
      <c r="D8" s="55" t="s">
        <v>65</v>
      </c>
      <c r="E8" s="56" t="s">
        <v>19</v>
      </c>
      <c r="F8" s="56">
        <v>1.0</v>
      </c>
      <c r="G8" s="55">
        <v>20.42</v>
      </c>
      <c r="H8" s="55"/>
      <c r="I8" s="56">
        <v>12.15</v>
      </c>
      <c r="J8" s="56"/>
      <c r="K8" s="56">
        <f>I8*G8</f>
        <v>248.10300000000004</v>
      </c>
      <c r="L8" s="31">
        <f>K8*F8</f>
        <v>248.10300000000004</v>
      </c>
    </row>
    <row r="9" spans="8:8" ht="23.4" customHeight="1">
      <c r="B9" s="28">
        <v>2.0</v>
      </c>
      <c r="C9" s="37"/>
      <c r="D9" s="34" t="s">
        <v>66</v>
      </c>
      <c r="E9" s="34" t="s">
        <v>19</v>
      </c>
      <c r="F9" s="34">
        <v>1.0</v>
      </c>
      <c r="G9" s="34">
        <v>1.4</v>
      </c>
      <c r="H9" s="34"/>
      <c r="I9" s="38">
        <v>4.65</v>
      </c>
      <c r="J9" s="34">
        <f>I9*G9</f>
        <v>6.51</v>
      </c>
      <c r="K9" s="38"/>
      <c r="L9" s="35">
        <f>-J9*F9</f>
        <v>-6.51</v>
      </c>
    </row>
    <row r="10" spans="8:8" ht="23.4" customHeight="1">
      <c r="B10" s="28">
        <v>4.0</v>
      </c>
      <c r="C10" s="37"/>
      <c r="D10" s="34" t="s">
        <v>67</v>
      </c>
      <c r="E10" s="34" t="s">
        <v>19</v>
      </c>
      <c r="F10" s="34">
        <v>1.0</v>
      </c>
      <c r="G10" s="34">
        <v>0.35</v>
      </c>
      <c r="H10" s="34"/>
      <c r="I10" s="34">
        <v>4.65</v>
      </c>
      <c r="J10" s="34">
        <f>I10*G10</f>
        <v>1.6275</v>
      </c>
      <c r="K10" s="34"/>
      <c r="L10" s="35">
        <f t="shared" si="0" ref="L10:L13">-J10*F10</f>
        <v>-1.6275</v>
      </c>
    </row>
    <row r="11" spans="8:8" ht="23.4" customHeight="1">
      <c r="B11" s="28">
        <v>5.0</v>
      </c>
      <c r="C11" s="37"/>
      <c r="D11" s="34" t="s">
        <v>70</v>
      </c>
      <c r="E11" s="34" t="s">
        <v>19</v>
      </c>
      <c r="F11" s="34">
        <v>1.0</v>
      </c>
      <c r="G11" s="34">
        <v>2.4</v>
      </c>
      <c r="H11" s="34"/>
      <c r="I11" s="34">
        <v>0.77</v>
      </c>
      <c r="J11" s="34">
        <f>I11*G11</f>
        <v>1.8479999999999999</v>
      </c>
      <c r="K11" s="34"/>
      <c r="L11" s="35">
        <f t="shared" si="0"/>
        <v>-1.8479999999999999</v>
      </c>
    </row>
    <row r="12" spans="8:8" ht="23.4" customHeight="1">
      <c r="B12" s="28">
        <v>6.0</v>
      </c>
      <c r="C12" s="37"/>
      <c r="D12" s="34" t="s">
        <v>68</v>
      </c>
      <c r="E12" s="34" t="s">
        <v>19</v>
      </c>
      <c r="F12" s="34">
        <v>12.0</v>
      </c>
      <c r="G12" s="34">
        <v>1.6</v>
      </c>
      <c r="H12" s="34"/>
      <c r="I12" s="34">
        <v>1.3</v>
      </c>
      <c r="J12" s="34">
        <f>IF((I12*G12)&lt;4,0,(I12*G12*0.5))</f>
        <v>0.0</v>
      </c>
      <c r="K12" s="34"/>
      <c r="L12" s="35">
        <f>-J12*F12</f>
        <v>0.0</v>
      </c>
    </row>
    <row r="13" spans="8:8" ht="23.4" customHeight="1">
      <c r="B13" s="28">
        <v>7.0</v>
      </c>
      <c r="C13" s="37"/>
      <c r="D13" s="34" t="s">
        <v>69</v>
      </c>
      <c r="E13" s="34" t="s">
        <v>19</v>
      </c>
      <c r="F13" s="34">
        <v>3.0</v>
      </c>
      <c r="G13" s="34">
        <v>1.6</v>
      </c>
      <c r="H13" s="34"/>
      <c r="I13" s="34">
        <v>1.3</v>
      </c>
      <c r="J13" s="34">
        <f>IF((I13*G13)&lt;4,0,(I13*G13*0.5))</f>
        <v>0.0</v>
      </c>
      <c r="K13" s="34"/>
      <c r="L13" s="35">
        <f t="shared" si="0"/>
        <v>0.0</v>
      </c>
    </row>
    <row r="14" spans="8:8" ht="23.4" customHeight="1">
      <c r="B14" s="28">
        <v>8.0</v>
      </c>
      <c r="C14" s="37" t="s">
        <v>71</v>
      </c>
      <c r="D14" s="55" t="s">
        <v>65</v>
      </c>
      <c r="E14" s="56" t="s">
        <v>19</v>
      </c>
      <c r="F14" s="56">
        <v>1.0</v>
      </c>
      <c r="G14" s="55">
        <v>20.42</v>
      </c>
      <c r="H14" s="55"/>
      <c r="I14" s="56">
        <v>12.15</v>
      </c>
      <c r="J14" s="56"/>
      <c r="K14" s="56">
        <f>I14*G14</f>
        <v>248.10300000000004</v>
      </c>
      <c r="L14" s="31">
        <f>K14*F14</f>
        <v>248.10300000000004</v>
      </c>
    </row>
    <row r="15" spans="8:8" ht="23.4" customHeight="1">
      <c r="B15" s="28">
        <v>9.0</v>
      </c>
      <c r="C15" s="37"/>
      <c r="D15" s="55" t="s">
        <v>72</v>
      </c>
      <c r="E15" s="56" t="s">
        <v>19</v>
      </c>
      <c r="F15" s="56">
        <v>1.0</v>
      </c>
      <c r="G15" s="55">
        <v>4.34</v>
      </c>
      <c r="H15" s="55"/>
      <c r="I15" s="56">
        <v>2.0</v>
      </c>
      <c r="J15" s="56"/>
      <c r="K15" s="56"/>
      <c r="L15" s="31">
        <f>I15*G15*F15</f>
        <v>8.68</v>
      </c>
    </row>
    <row r="16" spans="8:8" ht="23.4" customHeight="1">
      <c r="B16" s="28">
        <v>10.0</v>
      </c>
      <c r="C16" s="37"/>
      <c r="D16" s="55" t="s">
        <v>73</v>
      </c>
      <c r="E16" s="56" t="s">
        <v>19</v>
      </c>
      <c r="F16" s="56">
        <v>1.0</v>
      </c>
      <c r="G16" s="47">
        <v>9.0</v>
      </c>
      <c r="H16" s="57"/>
      <c r="I16" s="48"/>
      <c r="J16" s="56"/>
      <c r="K16" s="56"/>
      <c r="L16" s="31">
        <f>G16</f>
        <v>9.0</v>
      </c>
    </row>
    <row r="17" spans="8:8" ht="23.4" customHeight="1">
      <c r="B17" s="28">
        <v>11.0</v>
      </c>
      <c r="C17" s="37"/>
      <c r="D17" s="34" t="s">
        <v>67</v>
      </c>
      <c r="E17" s="34" t="s">
        <v>19</v>
      </c>
      <c r="F17" s="34">
        <v>1.0</v>
      </c>
      <c r="G17" s="34">
        <v>1.37</v>
      </c>
      <c r="H17" s="34"/>
      <c r="I17" s="34">
        <v>4.65</v>
      </c>
      <c r="J17" s="34">
        <f>I17*G17</f>
        <v>6.370500000000001</v>
      </c>
      <c r="K17" s="34"/>
      <c r="L17" s="35">
        <f t="shared" si="1" ref="L17">-J17*F17</f>
        <v>-6.370500000000001</v>
      </c>
    </row>
    <row r="18" spans="8:8" ht="23.4" customHeight="1">
      <c r="B18" s="28">
        <v>12.0</v>
      </c>
      <c r="C18" s="37"/>
      <c r="D18" s="34" t="s">
        <v>68</v>
      </c>
      <c r="E18" s="34" t="s">
        <v>19</v>
      </c>
      <c r="F18" s="34">
        <v>12.0</v>
      </c>
      <c r="G18" s="34">
        <v>1.6</v>
      </c>
      <c r="H18" s="34"/>
      <c r="I18" s="34">
        <v>1.3</v>
      </c>
      <c r="J18" s="34">
        <f>IF((I18*G18)&lt;4,0,(I18*G18*0.5))</f>
        <v>0.0</v>
      </c>
      <c r="K18" s="34"/>
      <c r="L18" s="35">
        <f>-J18*F18</f>
        <v>0.0</v>
      </c>
    </row>
    <row r="19" spans="8:8" ht="23.4" customHeight="1">
      <c r="B19" s="28">
        <v>13.0</v>
      </c>
      <c r="C19" s="37"/>
      <c r="D19" s="34" t="s">
        <v>69</v>
      </c>
      <c r="E19" s="34" t="s">
        <v>19</v>
      </c>
      <c r="F19" s="34">
        <v>3.0</v>
      </c>
      <c r="G19" s="34">
        <v>1.6</v>
      </c>
      <c r="H19" s="34"/>
      <c r="I19" s="34">
        <v>1.3</v>
      </c>
      <c r="J19" s="34">
        <f>IF((I19*G19)&lt;4,0,(I19*G19*0.5))</f>
        <v>0.0</v>
      </c>
      <c r="K19" s="34"/>
      <c r="L19" s="35">
        <f t="shared" si="2" ref="L19">-J19*F19</f>
        <v>0.0</v>
      </c>
    </row>
    <row r="20" spans="8:8" ht="23.4" customHeight="1">
      <c r="B20" s="28">
        <v>14.0</v>
      </c>
      <c r="C20" s="36" t="s">
        <v>74</v>
      </c>
      <c r="D20" s="55" t="s">
        <v>65</v>
      </c>
      <c r="E20" s="56" t="s">
        <v>19</v>
      </c>
      <c r="F20" s="56">
        <v>1.0</v>
      </c>
      <c r="G20" s="55">
        <v>19.33</v>
      </c>
      <c r="H20" s="55"/>
      <c r="I20" s="56">
        <v>12.15</v>
      </c>
      <c r="J20" s="56"/>
      <c r="K20" s="56">
        <f>I20*G20</f>
        <v>234.8595</v>
      </c>
      <c r="L20" s="31">
        <f>K20*F20</f>
        <v>234.8595</v>
      </c>
    </row>
    <row r="21" spans="8:8" ht="29.4" customHeight="1">
      <c r="B21" s="28">
        <v>15.0</v>
      </c>
      <c r="C21" s="33"/>
      <c r="D21" s="34" t="s">
        <v>68</v>
      </c>
      <c r="E21" s="34" t="s">
        <v>19</v>
      </c>
      <c r="F21" s="34">
        <v>12.0</v>
      </c>
      <c r="G21" s="34">
        <v>1.6</v>
      </c>
      <c r="H21" s="34"/>
      <c r="I21" s="34">
        <v>1.3</v>
      </c>
      <c r="J21" s="34">
        <f>IF((I21*G21)&lt;4,0,(I21*G21*0.5))</f>
        <v>0.0</v>
      </c>
      <c r="K21" s="34"/>
      <c r="L21" s="35">
        <f>-J21*F21</f>
        <v>0.0</v>
      </c>
    </row>
    <row r="22" spans="8:8" ht="29.4" customHeight="1">
      <c r="B22" s="28">
        <v>16.0</v>
      </c>
      <c r="C22" s="37" t="s">
        <v>75</v>
      </c>
      <c r="D22" s="55" t="s">
        <v>65</v>
      </c>
      <c r="E22" s="56" t="s">
        <v>19</v>
      </c>
      <c r="F22" s="56">
        <v>1.0</v>
      </c>
      <c r="G22" s="55">
        <v>21.4</v>
      </c>
      <c r="H22" s="55"/>
      <c r="I22" s="56">
        <v>12.15</v>
      </c>
      <c r="J22" s="56"/>
      <c r="K22" s="56">
        <f>I22*G22</f>
        <v>260.01</v>
      </c>
      <c r="L22" s="31">
        <f>K22*F22</f>
        <v>260.01</v>
      </c>
    </row>
    <row r="23" spans="8:8" ht="29.4" customHeight="1">
      <c r="B23" s="28">
        <v>17.0</v>
      </c>
      <c r="C23" s="37"/>
      <c r="D23" s="55" t="s">
        <v>76</v>
      </c>
      <c r="E23" s="55" t="s">
        <v>19</v>
      </c>
      <c r="F23" s="55">
        <v>4.0</v>
      </c>
      <c r="G23" s="55">
        <v>9.0</v>
      </c>
      <c r="H23" s="55"/>
      <c r="I23" s="55">
        <v>0.6</v>
      </c>
      <c r="J23" s="55"/>
      <c r="K23" s="56">
        <f t="shared" si="3" ref="K23:K24">I23*G23</f>
        <v>5.3999999999999995</v>
      </c>
      <c r="L23" s="31">
        <f t="shared" si="4" ref="L23:L28">K23*F23</f>
        <v>21.599999999999998</v>
      </c>
    </row>
    <row r="24" spans="8:8" ht="29.4" customHeight="1">
      <c r="B24" s="28">
        <v>18.0</v>
      </c>
      <c r="C24" s="37"/>
      <c r="D24" s="55" t="s">
        <v>77</v>
      </c>
      <c r="E24" s="55" t="s">
        <v>19</v>
      </c>
      <c r="F24" s="55">
        <v>2.0</v>
      </c>
      <c r="G24" s="55">
        <v>5.9</v>
      </c>
      <c r="H24" s="55"/>
      <c r="I24" s="55">
        <v>0.6</v>
      </c>
      <c r="J24" s="55"/>
      <c r="K24" s="56">
        <f t="shared" si="3"/>
        <v>3.54</v>
      </c>
      <c r="L24" s="31">
        <f t="shared" si="4"/>
        <v>7.08</v>
      </c>
    </row>
    <row r="25" spans="8:8" ht="29.4" customHeight="1">
      <c r="B25" s="28">
        <v>19.0</v>
      </c>
      <c r="C25" s="37"/>
      <c r="D25" s="34" t="s">
        <v>78</v>
      </c>
      <c r="E25" s="34" t="s">
        <v>19</v>
      </c>
      <c r="F25" s="34">
        <v>4.0</v>
      </c>
      <c r="G25" s="34">
        <v>3.3</v>
      </c>
      <c r="H25" s="34"/>
      <c r="I25" s="34">
        <f>11.15-4.65</f>
        <v>6.5</v>
      </c>
      <c r="J25" s="34">
        <f t="shared" si="5" ref="J25:J27">I25*G25</f>
        <v>21.45</v>
      </c>
      <c r="K25" s="34"/>
      <c r="L25" s="35">
        <f t="shared" si="6" ref="L25:L28">-J25*F25</f>
        <v>-85.8</v>
      </c>
    </row>
    <row r="26" spans="8:8" ht="29.4" customHeight="1">
      <c r="B26" s="28">
        <v>20.0</v>
      </c>
      <c r="C26" s="37"/>
      <c r="D26" s="34" t="s">
        <v>79</v>
      </c>
      <c r="E26" s="34" t="s">
        <v>19</v>
      </c>
      <c r="F26" s="34">
        <v>1.0</v>
      </c>
      <c r="G26" s="34">
        <v>7.0</v>
      </c>
      <c r="H26" s="34"/>
      <c r="I26" s="34">
        <v>0.6</v>
      </c>
      <c r="J26" s="34">
        <f t="shared" si="5"/>
        <v>4.2</v>
      </c>
      <c r="K26" s="34"/>
      <c r="L26" s="35">
        <f t="shared" si="6"/>
        <v>-4.2</v>
      </c>
    </row>
    <row r="27" spans="8:8" ht="29.4" customHeight="1">
      <c r="B27" s="28">
        <v>21.0</v>
      </c>
      <c r="C27" s="37"/>
      <c r="D27" s="34" t="s">
        <v>80</v>
      </c>
      <c r="E27" s="34" t="s">
        <v>19</v>
      </c>
      <c r="F27" s="34">
        <v>1.0</v>
      </c>
      <c r="G27" s="34">
        <v>2.75</v>
      </c>
      <c r="H27" s="34"/>
      <c r="I27" s="34">
        <v>4.65</v>
      </c>
      <c r="J27" s="34">
        <f t="shared" si="5"/>
        <v>12.787500000000001</v>
      </c>
      <c r="K27" s="34"/>
      <c r="L27" s="35">
        <f t="shared" si="6"/>
        <v>-12.787500000000001</v>
      </c>
    </row>
    <row r="28" spans="8:8" ht="29.4" customHeight="1">
      <c r="B28" s="28">
        <v>22.0</v>
      </c>
      <c r="C28" s="37"/>
      <c r="D28" s="34" t="s">
        <v>81</v>
      </c>
      <c r="E28" s="34" t="s">
        <v>19</v>
      </c>
      <c r="F28" s="34">
        <v>2.0</v>
      </c>
      <c r="G28" s="34">
        <v>1.6</v>
      </c>
      <c r="H28" s="34"/>
      <c r="I28" s="34">
        <v>2.2</v>
      </c>
      <c r="J28" s="34">
        <f t="shared" si="7" ref="J27:J28">IF((I28*G28)&lt;4,0,(I28*G28*0.5))</f>
        <v>0.0</v>
      </c>
      <c r="K28" s="34"/>
      <c r="L28" s="35">
        <f t="shared" si="6"/>
        <v>0.0</v>
      </c>
    </row>
    <row r="29" spans="8:8" ht="29.4" customHeight="1">
      <c r="B29" s="40" t="s">
        <v>82</v>
      </c>
      <c r="C29" s="58"/>
      <c r="D29" s="41"/>
      <c r="E29" s="41"/>
      <c r="F29" s="41"/>
      <c r="G29" s="41"/>
      <c r="H29" s="41"/>
      <c r="I29" s="41"/>
      <c r="J29" s="42">
        <f>SUM(L8:L28)</f>
        <v>918.2920000000001</v>
      </c>
      <c r="K29" s="43"/>
      <c r="L29" s="44"/>
    </row>
    <row r="30" spans="8:8" ht="29.4" customHeight="1"/>
  </sheetData>
  <mergeCells count="17">
    <mergeCell ref="B29:I29"/>
    <mergeCell ref="J29:L29"/>
    <mergeCell ref="C22:C28"/>
    <mergeCell ref="C20:C21"/>
    <mergeCell ref="I3:L3"/>
    <mergeCell ref="B5:L5"/>
    <mergeCell ref="I2:L2"/>
    <mergeCell ref="C8:C13"/>
    <mergeCell ref="J6:L6"/>
    <mergeCell ref="C14:C19"/>
    <mergeCell ref="F6:F7"/>
    <mergeCell ref="G16:I16"/>
    <mergeCell ref="B6:B7"/>
    <mergeCell ref="C6:C7"/>
    <mergeCell ref="D6:D7"/>
    <mergeCell ref="E6:E7"/>
    <mergeCell ref="G6:I6"/>
  </mergeCells>
  <printOptions horizontalCentered="1"/>
  <pageMargins left="0.7" right="0.7" top="0.75" bottom="0.75" header="0.3" footer="0.3"/>
  <pageSetup paperSize="9" scale="38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1:L34"/>
  <sheetViews>
    <sheetView workbookViewId="0" topLeftCell="A11" zoomScale="85">
      <selection activeCell="F27" sqref="F27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31.0" style="1"/>
    <col min="4" max="4" customWidth="1" width="11.777344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3.5546875" style="1"/>
    <col min="13" max="13" customWidth="1" width="8.886719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 t="s">
        <v>17</v>
      </c>
      <c r="H2" s="4"/>
      <c r="I2" s="4"/>
      <c r="J2" s="4"/>
      <c r="K2" s="5"/>
    </row>
    <row r="3" spans="8:8" ht="25.8" customHeight="1">
      <c r="B3" s="6" t="s">
        <v>15</v>
      </c>
      <c r="C3" s="52"/>
      <c r="D3" s="52"/>
      <c r="E3" s="52"/>
      <c r="F3" s="52"/>
      <c r="G3" s="52" t="s">
        <v>16</v>
      </c>
      <c r="H3" s="8"/>
      <c r="I3" s="8"/>
      <c r="J3" s="8"/>
      <c r="K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8:8" ht="28.2" customHeight="1">
      <c r="B5" s="13" t="s">
        <v>100</v>
      </c>
      <c r="C5" s="14"/>
      <c r="D5" s="14"/>
      <c r="E5" s="14"/>
      <c r="F5" s="14"/>
      <c r="G5" s="14"/>
      <c r="H5" s="14"/>
      <c r="I5" s="14"/>
      <c r="J5" s="14"/>
      <c r="K5" s="15"/>
    </row>
    <row r="6" spans="8:8" ht="23.4" customHeight="1">
      <c r="B6" s="16" t="s">
        <v>0</v>
      </c>
      <c r="C6" s="17" t="s">
        <v>1</v>
      </c>
      <c r="D6" s="17" t="s">
        <v>2</v>
      </c>
      <c r="E6" s="18" t="s">
        <v>3</v>
      </c>
      <c r="F6" s="19" t="s">
        <v>10</v>
      </c>
      <c r="G6" s="20"/>
      <c r="H6" s="21"/>
      <c r="I6" s="19" t="s">
        <v>11</v>
      </c>
      <c r="J6" s="20"/>
      <c r="K6" s="21"/>
    </row>
    <row r="7" spans="8:8" ht="27.6" customHeight="1">
      <c r="B7" s="22"/>
      <c r="C7" s="29"/>
      <c r="D7" s="23"/>
      <c r="E7" s="24"/>
      <c r="F7" s="25" t="s">
        <v>4</v>
      </c>
      <c r="G7" s="26" t="s">
        <v>5</v>
      </c>
      <c r="H7" s="27" t="s">
        <v>6</v>
      </c>
      <c r="I7" s="25" t="s">
        <v>7</v>
      </c>
      <c r="J7" s="26" t="s">
        <v>8</v>
      </c>
      <c r="K7" s="27" t="s">
        <v>9</v>
      </c>
    </row>
    <row r="8" spans="8:8" ht="29.4" customHeight="1">
      <c r="B8" s="28"/>
      <c r="C8" s="59" t="s">
        <v>101</v>
      </c>
      <c r="D8" s="56"/>
      <c r="E8" s="55">
        <v>1.0</v>
      </c>
      <c r="F8" s="55">
        <v>25.54</v>
      </c>
      <c r="G8" s="55"/>
      <c r="H8" s="56"/>
      <c r="I8" s="55"/>
      <c r="J8" s="56">
        <f>F8*E8</f>
        <v>25.54</v>
      </c>
      <c r="K8" s="60">
        <f>J8+I8</f>
        <v>25.54</v>
      </c>
    </row>
    <row r="9" spans="8:8" ht="29.4" customHeight="1">
      <c r="B9" s="28"/>
      <c r="C9" s="61"/>
      <c r="D9" s="55"/>
      <c r="E9" s="55">
        <v>1.0</v>
      </c>
      <c r="F9" s="55">
        <v>22.2</v>
      </c>
      <c r="G9" s="55"/>
      <c r="H9" s="55"/>
      <c r="I9" s="55"/>
      <c r="J9" s="56">
        <f>F9*E9</f>
        <v>22.2</v>
      </c>
      <c r="K9" s="60">
        <f t="shared" si="0" ref="K9:K27">J9+I9</f>
        <v>22.2</v>
      </c>
    </row>
    <row r="10" spans="8:8" ht="29.4" customHeight="1">
      <c r="B10" s="28"/>
      <c r="C10" s="34" t="s">
        <v>102</v>
      </c>
      <c r="D10" s="34"/>
      <c r="E10" s="34">
        <v>1.0</v>
      </c>
      <c r="F10" s="34">
        <v>1.77</v>
      </c>
      <c r="G10" s="34"/>
      <c r="H10" s="34"/>
      <c r="I10" s="34">
        <f>-F10*E10</f>
        <v>-1.77</v>
      </c>
      <c r="J10" s="34"/>
      <c r="K10" s="60">
        <f t="shared" si="0"/>
        <v>-1.77</v>
      </c>
    </row>
    <row r="11" spans="8:8" ht="29.4" customHeight="1">
      <c r="B11" s="28"/>
      <c r="C11" s="34" t="s">
        <v>102</v>
      </c>
      <c r="D11" s="34"/>
      <c r="E11" s="34">
        <v>1.0</v>
      </c>
      <c r="F11" s="34">
        <v>1.77</v>
      </c>
      <c r="G11" s="34"/>
      <c r="H11" s="34"/>
      <c r="I11" s="34">
        <f t="shared" si="1" ref="I11:I23">-F11*E11</f>
        <v>-1.77</v>
      </c>
      <c r="J11" s="34"/>
      <c r="K11" s="60">
        <f t="shared" si="0"/>
        <v>-1.77</v>
      </c>
    </row>
    <row r="12" spans="8:8" ht="29.4" customHeight="1">
      <c r="B12" s="28"/>
      <c r="C12" s="34" t="s">
        <v>102</v>
      </c>
      <c r="D12" s="38"/>
      <c r="E12" s="34">
        <v>1.0</v>
      </c>
      <c r="F12" s="34">
        <v>0.975</v>
      </c>
      <c r="G12" s="62"/>
      <c r="H12" s="34"/>
      <c r="I12" s="34">
        <f t="shared" si="1"/>
        <v>-0.975</v>
      </c>
      <c r="J12" s="38"/>
      <c r="K12" s="60">
        <f t="shared" si="0"/>
        <v>-0.975</v>
      </c>
    </row>
    <row r="13" spans="8:8" ht="29.4" customHeight="1">
      <c r="B13" s="28"/>
      <c r="C13" s="34" t="s">
        <v>108</v>
      </c>
      <c r="D13" s="38"/>
      <c r="E13" s="34">
        <v>1.0</v>
      </c>
      <c r="F13" s="34">
        <f>1+0.1+0.1</f>
        <v>1.2000000000000002</v>
      </c>
      <c r="G13" s="62"/>
      <c r="H13" s="34"/>
      <c r="I13" s="34">
        <f t="shared" si="1"/>
        <v>-1.2000000000000002</v>
      </c>
      <c r="J13" s="38"/>
      <c r="K13" s="60">
        <f t="shared" si="0"/>
        <v>-1.2</v>
      </c>
    </row>
    <row r="14" spans="8:8" ht="29.4" customHeight="1">
      <c r="B14" s="28"/>
      <c r="C14" s="34" t="s">
        <v>109</v>
      </c>
      <c r="D14" s="38"/>
      <c r="E14" s="34">
        <v>1.0</v>
      </c>
      <c r="F14" s="34">
        <f>1.3+0.1+0.1</f>
        <v>1.5</v>
      </c>
      <c r="G14" s="62"/>
      <c r="H14" s="34"/>
      <c r="I14" s="34">
        <f t="shared" si="1"/>
        <v>-1.5</v>
      </c>
      <c r="J14" s="38"/>
      <c r="K14" s="60">
        <f t="shared" si="0"/>
        <v>-1.5</v>
      </c>
    </row>
    <row r="15" spans="8:8" ht="29.4" customHeight="1">
      <c r="B15" s="28"/>
      <c r="C15" s="55" t="s">
        <v>103</v>
      </c>
      <c r="D15" s="56"/>
      <c r="E15" s="55">
        <v>1.0</v>
      </c>
      <c r="F15" s="55">
        <v>12.98</v>
      </c>
      <c r="G15" s="55"/>
      <c r="H15" s="55"/>
      <c r="I15" s="55"/>
      <c r="J15" s="56">
        <f>F15*E15</f>
        <v>12.98</v>
      </c>
      <c r="K15" s="63">
        <f t="shared" si="0"/>
        <v>12.98</v>
      </c>
    </row>
    <row r="16" spans="8:8" ht="29.4" customHeight="1">
      <c r="B16" s="28"/>
      <c r="C16" s="34" t="s">
        <v>104</v>
      </c>
      <c r="D16" s="38"/>
      <c r="E16" s="34">
        <v>1.0</v>
      </c>
      <c r="F16" s="34">
        <f>0.9+0.1+0.1</f>
        <v>1.1</v>
      </c>
      <c r="G16" s="34"/>
      <c r="H16" s="34"/>
      <c r="I16" s="34">
        <f t="shared" si="1"/>
        <v>-1.1</v>
      </c>
      <c r="J16" s="38"/>
      <c r="K16" s="63">
        <f t="shared" si="0"/>
        <v>-1.1</v>
      </c>
    </row>
    <row r="17" spans="8:8" ht="29.4" customHeight="1">
      <c r="B17" s="28"/>
      <c r="C17" s="55" t="s">
        <v>105</v>
      </c>
      <c r="D17" s="56"/>
      <c r="E17" s="55">
        <v>1.0</v>
      </c>
      <c r="F17" s="55">
        <v>11.6</v>
      </c>
      <c r="G17" s="55"/>
      <c r="H17" s="55"/>
      <c r="I17" s="55"/>
      <c r="J17" s="56">
        <f>F17*E17</f>
        <v>11.6</v>
      </c>
      <c r="K17" s="63">
        <f t="shared" si="0"/>
        <v>11.6</v>
      </c>
    </row>
    <row r="18" spans="8:8" ht="29.4" customHeight="1">
      <c r="B18" s="28"/>
      <c r="C18" s="34" t="s">
        <v>104</v>
      </c>
      <c r="D18" s="38"/>
      <c r="E18" s="34">
        <v>1.0</v>
      </c>
      <c r="F18" s="34">
        <f>0.9+0.1+0.1</f>
        <v>1.1</v>
      </c>
      <c r="G18" s="55"/>
      <c r="H18" s="55"/>
      <c r="I18" s="34">
        <f t="shared" si="1"/>
        <v>-1.1</v>
      </c>
      <c r="J18" s="56"/>
      <c r="K18" s="63">
        <f t="shared" si="0"/>
        <v>-1.1</v>
      </c>
    </row>
    <row r="19" spans="8:8" ht="29.4" customHeight="1">
      <c r="B19" s="28"/>
      <c r="C19" s="55" t="s">
        <v>106</v>
      </c>
      <c r="D19" s="56"/>
      <c r="E19" s="55">
        <v>1.0</v>
      </c>
      <c r="F19" s="55">
        <v>21.64</v>
      </c>
      <c r="G19" s="55"/>
      <c r="H19" s="55"/>
      <c r="I19" s="55"/>
      <c r="J19" s="56">
        <f>F19*E19</f>
        <v>21.64</v>
      </c>
      <c r="K19" s="63">
        <f t="shared" si="0"/>
        <v>21.64</v>
      </c>
    </row>
    <row r="20" spans="8:8" ht="29.4" customHeight="1">
      <c r="B20" s="28"/>
      <c r="C20" s="34" t="s">
        <v>107</v>
      </c>
      <c r="D20" s="38"/>
      <c r="E20" s="34">
        <v>1.0</v>
      </c>
      <c r="F20" s="34">
        <f>0.8+0.1+0.1</f>
        <v>1.0</v>
      </c>
      <c r="G20" s="55"/>
      <c r="H20" s="55"/>
      <c r="I20" s="34">
        <f t="shared" si="1"/>
        <v>-1.0</v>
      </c>
      <c r="J20" s="56"/>
      <c r="K20" s="63">
        <f t="shared" si="0"/>
        <v>-1.0</v>
      </c>
    </row>
    <row r="21" spans="8:8" ht="29.4" customHeight="1">
      <c r="B21" s="28"/>
      <c r="C21" s="34" t="s">
        <v>104</v>
      </c>
      <c r="D21" s="38"/>
      <c r="E21" s="34">
        <v>1.0</v>
      </c>
      <c r="F21" s="34">
        <f>0.9+0.1+0.1</f>
        <v>1.1</v>
      </c>
      <c r="G21" s="55"/>
      <c r="H21" s="55"/>
      <c r="I21" s="34">
        <f t="shared" si="1"/>
        <v>-1.1</v>
      </c>
      <c r="J21" s="56"/>
      <c r="K21" s="63">
        <f t="shared" si="0"/>
        <v>-1.1</v>
      </c>
    </row>
    <row r="22" spans="8:8" ht="29.4" customHeight="1">
      <c r="B22" s="28"/>
      <c r="C22" s="55" t="s">
        <v>110</v>
      </c>
      <c r="D22" s="38"/>
      <c r="E22" s="55">
        <v>1.0</v>
      </c>
      <c r="F22" s="55">
        <v>8.5</v>
      </c>
      <c r="G22" s="55"/>
      <c r="H22" s="55"/>
      <c r="I22" s="55"/>
      <c r="J22" s="56">
        <f>F22*E22</f>
        <v>8.5</v>
      </c>
      <c r="K22" s="63">
        <f t="shared" si="0"/>
        <v>8.5</v>
      </c>
    </row>
    <row r="23" spans="8:8" ht="29.4" customHeight="1">
      <c r="B23" s="28"/>
      <c r="C23" s="34" t="s">
        <v>109</v>
      </c>
      <c r="D23" s="38"/>
      <c r="E23" s="34">
        <v>1.0</v>
      </c>
      <c r="F23" s="34">
        <f>1.3+0.1+0.1</f>
        <v>1.5</v>
      </c>
      <c r="G23" s="55"/>
      <c r="H23" s="55"/>
      <c r="I23" s="34">
        <f t="shared" si="1"/>
        <v>-1.5</v>
      </c>
      <c r="J23" s="56"/>
      <c r="K23" s="63">
        <f t="shared" si="0"/>
        <v>-1.5</v>
      </c>
    </row>
    <row r="24" spans="8:8" ht="29.4" customHeight="1">
      <c r="B24" s="28"/>
      <c r="C24" s="55" t="s">
        <v>114</v>
      </c>
      <c r="D24" s="38"/>
      <c r="E24" s="55">
        <v>1.0</v>
      </c>
      <c r="F24" s="55">
        <v>1.3</v>
      </c>
      <c r="G24" s="55"/>
      <c r="H24" s="55"/>
      <c r="I24" s="55"/>
      <c r="J24" s="56">
        <f t="shared" si="2" ref="J24:J27">F24*E24</f>
        <v>1.3</v>
      </c>
      <c r="K24" s="60">
        <f t="shared" si="0"/>
        <v>1.3</v>
      </c>
    </row>
    <row r="25" spans="8:8" ht="29.4" customHeight="1">
      <c r="B25" s="28"/>
      <c r="C25" s="55" t="s">
        <v>111</v>
      </c>
      <c r="D25" s="38"/>
      <c r="E25" s="55">
        <v>1.0</v>
      </c>
      <c r="F25" s="55">
        <v>1.0</v>
      </c>
      <c r="G25" s="55"/>
      <c r="H25" s="55"/>
      <c r="I25" s="55"/>
      <c r="J25" s="56">
        <f t="shared" si="2"/>
        <v>1.0</v>
      </c>
      <c r="K25" s="60">
        <f t="shared" si="0"/>
        <v>1.0</v>
      </c>
    </row>
    <row r="26" spans="8:8" ht="29.4" customHeight="1">
      <c r="B26" s="28"/>
      <c r="C26" s="55" t="s">
        <v>112</v>
      </c>
      <c r="D26" s="38"/>
      <c r="E26" s="55">
        <v>3.0</v>
      </c>
      <c r="F26" s="55">
        <v>0.9</v>
      </c>
      <c r="G26" s="55"/>
      <c r="H26" s="55"/>
      <c r="I26" s="55"/>
      <c r="J26" s="56">
        <f t="shared" si="2"/>
        <v>2.7</v>
      </c>
      <c r="K26" s="60">
        <f t="shared" si="0"/>
        <v>2.7</v>
      </c>
    </row>
    <row r="27" spans="8:8" ht="29.4" customHeight="1">
      <c r="B27" s="28"/>
      <c r="C27" s="55" t="s">
        <v>113</v>
      </c>
      <c r="D27" s="38"/>
      <c r="E27" s="55">
        <v>4.0</v>
      </c>
      <c r="F27" s="55">
        <v>0.8</v>
      </c>
      <c r="G27" s="55"/>
      <c r="H27" s="55"/>
      <c r="I27" s="55"/>
      <c r="J27" s="56">
        <f t="shared" si="2"/>
        <v>3.2</v>
      </c>
      <c r="K27" s="60">
        <f t="shared" si="0"/>
        <v>3.2</v>
      </c>
    </row>
    <row r="28" spans="8:8" ht="29.4" customHeight="1">
      <c r="B28" s="40"/>
      <c r="C28" s="41"/>
      <c r="D28" s="41"/>
      <c r="E28" s="41"/>
      <c r="F28" s="58"/>
      <c r="G28" s="58"/>
      <c r="H28" s="41"/>
      <c r="I28" s="42">
        <f>SUM(K8:K27)</f>
        <v>97.645</v>
      </c>
      <c r="J28" s="43"/>
      <c r="K28" s="44"/>
    </row>
    <row r="29" spans="8:8" ht="29.4" customHeight="1"/>
    <row r="30" spans="8:8" ht="29.4" customHeight="1"/>
    <row r="31" spans="8:8" ht="29.4" customHeight="1"/>
    <row r="32" spans="8:8" ht="29.4" customHeight="1"/>
    <row r="33" spans="8:8" ht="29.4" customHeight="1"/>
    <row r="34" spans="8:8" ht="29.4" customHeight="1"/>
  </sheetData>
  <mergeCells count="12">
    <mergeCell ref="C8:C9"/>
    <mergeCell ref="B28:H28"/>
    <mergeCell ref="I28:K28"/>
    <mergeCell ref="H2:K2"/>
    <mergeCell ref="C6:C7"/>
    <mergeCell ref="B5:K5"/>
    <mergeCell ref="B6:B7"/>
    <mergeCell ref="H3:K3"/>
    <mergeCell ref="D6:D7"/>
    <mergeCell ref="E6:E7"/>
    <mergeCell ref="F6:H6"/>
    <mergeCell ref="I6:K6"/>
  </mergeCells>
  <printOptions horizontalCentered="1"/>
  <pageMargins left="0.7" right="0.7" top="0.75" bottom="0.75" header="0.3" footer="0.3"/>
  <pageSetup paperSize="9" scale="38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B1:N43"/>
  <sheetViews>
    <sheetView workbookViewId="0" topLeftCell="B1" zoomScale="85">
      <selection activeCell="H15" sqref="H15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31.0" style="1"/>
    <col min="4" max="4" customWidth="1" width="11.777344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3.5546875" style="1"/>
    <col min="13" max="13" customWidth="1" width="8.886719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 t="s">
        <v>17</v>
      </c>
      <c r="H2" s="4"/>
      <c r="I2" s="4"/>
      <c r="J2" s="4"/>
      <c r="K2" s="5"/>
    </row>
    <row r="3" spans="8:8" ht="25.8" customHeight="1">
      <c r="B3" s="6" t="s">
        <v>15</v>
      </c>
      <c r="C3" s="52"/>
      <c r="D3" s="52"/>
      <c r="E3" s="52"/>
      <c r="F3" s="52"/>
      <c r="G3" s="52" t="s">
        <v>16</v>
      </c>
      <c r="H3" s="8"/>
      <c r="I3" s="8"/>
      <c r="J3" s="8"/>
      <c r="K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8:8" ht="28.2" customHeight="1">
      <c r="B5" s="13" t="s">
        <v>99</v>
      </c>
      <c r="C5" s="14"/>
      <c r="D5" s="14"/>
      <c r="E5" s="14"/>
      <c r="F5" s="14"/>
      <c r="G5" s="14"/>
      <c r="H5" s="14"/>
      <c r="I5" s="14"/>
      <c r="J5" s="14"/>
      <c r="K5" s="15"/>
    </row>
    <row r="6" spans="8:8" ht="23.4" customHeight="1">
      <c r="B6" s="16" t="s">
        <v>0</v>
      </c>
      <c r="C6" s="17" t="s">
        <v>1</v>
      </c>
      <c r="D6" s="17" t="s">
        <v>2</v>
      </c>
      <c r="E6" s="18" t="s">
        <v>3</v>
      </c>
      <c r="F6" s="19" t="s">
        <v>10</v>
      </c>
      <c r="G6" s="20"/>
      <c r="H6" s="21"/>
      <c r="I6" s="19" t="s">
        <v>11</v>
      </c>
      <c r="J6" s="20"/>
      <c r="K6" s="21"/>
    </row>
    <row r="7" spans="8:8" ht="27.6" customHeight="1">
      <c r="B7" s="22"/>
      <c r="C7" s="29"/>
      <c r="D7" s="23"/>
      <c r="E7" s="24"/>
      <c r="F7" s="25" t="s">
        <v>4</v>
      </c>
      <c r="G7" s="26" t="s">
        <v>5</v>
      </c>
      <c r="H7" s="27" t="s">
        <v>6</v>
      </c>
      <c r="I7" s="25" t="s">
        <v>7</v>
      </c>
      <c r="J7" s="26" t="s">
        <v>8</v>
      </c>
      <c r="K7" s="27" t="s">
        <v>9</v>
      </c>
    </row>
    <row r="8" spans="8:8" ht="31.8" customHeight="1">
      <c r="B8" s="28">
        <v>1.0</v>
      </c>
      <c r="C8" s="55" t="s">
        <v>83</v>
      </c>
      <c r="D8" s="56" t="s">
        <v>19</v>
      </c>
      <c r="E8" s="56">
        <v>1.0</v>
      </c>
      <c r="F8" s="45">
        <v>33.83</v>
      </c>
      <c r="G8" s="46"/>
      <c r="H8" s="56"/>
      <c r="I8" s="56"/>
      <c r="J8" s="56">
        <f>F8</f>
        <v>33.83</v>
      </c>
      <c r="K8" s="31">
        <f>J8*E8</f>
        <v>33.83</v>
      </c>
    </row>
    <row r="9" spans="8:8" ht="33.0" customHeight="1">
      <c r="B9" s="28"/>
      <c r="C9" s="55" t="s">
        <v>84</v>
      </c>
      <c r="D9" s="55" t="s">
        <v>19</v>
      </c>
      <c r="E9" s="55">
        <v>1.0</v>
      </c>
      <c r="F9" s="47">
        <v>9.86</v>
      </c>
      <c r="G9" s="48"/>
      <c r="H9" s="56"/>
      <c r="I9" s="55"/>
      <c r="J9" s="56">
        <f t="shared" si="0" ref="J9:J16">F9</f>
        <v>9.86</v>
      </c>
      <c r="K9" s="31">
        <f t="shared" si="1" ref="K9:K17">J9*E9</f>
        <v>9.86</v>
      </c>
    </row>
    <row r="10" spans="8:8" ht="23.4" customHeight="1">
      <c r="B10" s="28"/>
      <c r="C10" s="55" t="s">
        <v>85</v>
      </c>
      <c r="D10" s="55" t="s">
        <v>19</v>
      </c>
      <c r="E10" s="55">
        <v>1.0</v>
      </c>
      <c r="F10" s="47">
        <v>9.8</v>
      </c>
      <c r="G10" s="48"/>
      <c r="H10" s="55"/>
      <c r="I10" s="55"/>
      <c r="J10" s="56">
        <f t="shared" si="0"/>
        <v>9.8</v>
      </c>
      <c r="K10" s="31">
        <f t="shared" si="1"/>
        <v>9.8</v>
      </c>
    </row>
    <row r="11" spans="8:8" ht="22.2" customHeight="1">
      <c r="B11" s="28"/>
      <c r="C11" s="55" t="s">
        <v>86</v>
      </c>
      <c r="D11" s="55" t="s">
        <v>19</v>
      </c>
      <c r="E11" s="55">
        <v>1.0</v>
      </c>
      <c r="F11" s="47">
        <v>11.6</v>
      </c>
      <c r="G11" s="48"/>
      <c r="H11" s="55"/>
      <c r="I11" s="55"/>
      <c r="J11" s="56">
        <f t="shared" si="0"/>
        <v>11.6</v>
      </c>
      <c r="K11" s="31">
        <f t="shared" si="1"/>
        <v>11.6</v>
      </c>
    </row>
    <row r="12" spans="8:8" ht="26.4" customHeight="1">
      <c r="B12" s="28"/>
      <c r="C12" s="55" t="s">
        <v>87</v>
      </c>
      <c r="D12" s="55" t="s">
        <v>19</v>
      </c>
      <c r="E12" s="55">
        <v>1.0</v>
      </c>
      <c r="F12" s="47">
        <v>19.28</v>
      </c>
      <c r="G12" s="48"/>
      <c r="H12" s="55"/>
      <c r="I12" s="55"/>
      <c r="J12" s="56">
        <f t="shared" si="0"/>
        <v>19.28</v>
      </c>
      <c r="K12" s="31">
        <f t="shared" si="1"/>
        <v>19.28</v>
      </c>
    </row>
    <row r="13" spans="8:8" ht="26.4" customHeight="1">
      <c r="B13" s="28"/>
      <c r="C13" s="55" t="s">
        <v>94</v>
      </c>
      <c r="D13" s="55" t="s">
        <v>19</v>
      </c>
      <c r="E13" s="55">
        <v>1.0</v>
      </c>
      <c r="F13" s="47">
        <v>7.73</v>
      </c>
      <c r="G13" s="48"/>
      <c r="H13" s="55"/>
      <c r="I13" s="55"/>
      <c r="J13" s="56">
        <f t="shared" si="0"/>
        <v>7.73</v>
      </c>
      <c r="K13" s="31">
        <f t="shared" si="1"/>
        <v>7.73</v>
      </c>
    </row>
    <row r="14" spans="8:8" ht="29.4" customHeight="1">
      <c r="B14" s="28"/>
      <c r="C14" s="55" t="s">
        <v>88</v>
      </c>
      <c r="D14" s="55" t="s">
        <v>19</v>
      </c>
      <c r="E14" s="55">
        <v>1.0</v>
      </c>
      <c r="F14" s="47">
        <v>2.88</v>
      </c>
      <c r="G14" s="48"/>
      <c r="H14" s="55"/>
      <c r="I14" s="55"/>
      <c r="J14" s="56">
        <f t="shared" si="0"/>
        <v>2.88</v>
      </c>
      <c r="K14" s="31">
        <f t="shared" si="1"/>
        <v>2.88</v>
      </c>
    </row>
    <row r="15" spans="8:8" ht="29.4" customHeight="1">
      <c r="B15" s="28"/>
      <c r="C15" s="55" t="s">
        <v>89</v>
      </c>
      <c r="D15" s="55" t="s">
        <v>19</v>
      </c>
      <c r="E15" s="55">
        <v>1.0</v>
      </c>
      <c r="F15" s="47">
        <v>4.03</v>
      </c>
      <c r="G15" s="48"/>
      <c r="H15" s="56"/>
      <c r="I15" s="55"/>
      <c r="J15" s="56">
        <f t="shared" si="0"/>
        <v>4.03</v>
      </c>
      <c r="K15" s="31">
        <f t="shared" si="1"/>
        <v>4.03</v>
      </c>
    </row>
    <row r="16" spans="8:8" ht="29.4" customHeight="1">
      <c r="B16" s="28"/>
      <c r="C16" s="55" t="s">
        <v>90</v>
      </c>
      <c r="D16" s="55" t="s">
        <v>19</v>
      </c>
      <c r="E16" s="55">
        <v>1.0</v>
      </c>
      <c r="F16" s="47">
        <v>3.53</v>
      </c>
      <c r="G16" s="48"/>
      <c r="H16" s="55"/>
      <c r="I16" s="55"/>
      <c r="J16" s="56">
        <f t="shared" si="0"/>
        <v>3.53</v>
      </c>
      <c r="K16" s="31">
        <f t="shared" si="1"/>
        <v>3.53</v>
      </c>
    </row>
    <row r="17" spans="8:8" ht="29.4" customHeight="1">
      <c r="B17" s="28"/>
      <c r="C17" s="55" t="s">
        <v>91</v>
      </c>
      <c r="D17" s="55" t="s">
        <v>19</v>
      </c>
      <c r="E17" s="55">
        <v>1.0</v>
      </c>
      <c r="F17" s="55">
        <v>7.44</v>
      </c>
      <c r="G17" s="55"/>
      <c r="H17" s="55">
        <f>3-0.2-0.025-0.1</f>
        <v>2.675</v>
      </c>
      <c r="I17" s="55"/>
      <c r="J17" s="55">
        <f>H17*F17</f>
        <v>19.902</v>
      </c>
      <c r="K17" s="31">
        <f t="shared" si="1"/>
        <v>19.902</v>
      </c>
    </row>
    <row r="18" spans="8:8" ht="29.4" customHeight="1">
      <c r="B18" s="28"/>
      <c r="C18" s="34" t="s">
        <v>92</v>
      </c>
      <c r="D18" s="55" t="s">
        <v>19</v>
      </c>
      <c r="E18" s="55">
        <v>1.0</v>
      </c>
      <c r="F18" s="34">
        <v>0.8</v>
      </c>
      <c r="G18" s="34">
        <v>0.8</v>
      </c>
      <c r="H18" s="34"/>
      <c r="I18" s="34">
        <f>-G18*F18</f>
        <v>-0.6400000000000001</v>
      </c>
      <c r="J18" s="38"/>
      <c r="K18" s="35">
        <f>I18*E18</f>
        <v>-0.6400000000000001</v>
      </c>
    </row>
    <row r="19" spans="8:8" ht="29.4" customHeight="1">
      <c r="B19" s="28"/>
      <c r="C19" s="34" t="s">
        <v>93</v>
      </c>
      <c r="D19" s="55" t="s">
        <v>19</v>
      </c>
      <c r="E19" s="55">
        <v>1.0</v>
      </c>
      <c r="F19" s="34">
        <v>0.8</v>
      </c>
      <c r="G19" s="34">
        <v>2.2</v>
      </c>
      <c r="H19" s="38"/>
      <c r="I19" s="34">
        <f>-G19*F19</f>
        <v>-1.7600000000000002</v>
      </c>
      <c r="J19" s="38"/>
      <c r="K19" s="35">
        <f>I19*E19</f>
        <v>-1.7600000000000002</v>
      </c>
    </row>
    <row r="20" spans="8:8" ht="29.4" customHeight="1">
      <c r="B20" s="28"/>
      <c r="C20" s="55" t="s">
        <v>95</v>
      </c>
      <c r="D20" s="55" t="s">
        <v>19</v>
      </c>
      <c r="E20" s="55">
        <v>1.0</v>
      </c>
      <c r="F20" s="55">
        <v>8.08</v>
      </c>
      <c r="G20" s="55"/>
      <c r="H20" s="55">
        <f>3-0.2-0.025-0.1</f>
        <v>2.675</v>
      </c>
      <c r="I20" s="55"/>
      <c r="J20" s="55">
        <f>H20*F20</f>
        <v>21.613999999999997</v>
      </c>
      <c r="K20" s="31">
        <f t="shared" si="2" ref="K20">J20*E20</f>
        <v>21.613999999999997</v>
      </c>
      <c r="L20" s="49"/>
      <c r="M20" s="49"/>
    </row>
    <row r="21" spans="8:8" ht="29.4" customHeight="1">
      <c r="B21" s="28"/>
      <c r="C21" s="34" t="s">
        <v>92</v>
      </c>
      <c r="D21" s="55" t="s">
        <v>19</v>
      </c>
      <c r="E21" s="55">
        <v>1.0</v>
      </c>
      <c r="F21" s="34">
        <v>0.8</v>
      </c>
      <c r="G21" s="34">
        <v>0.8</v>
      </c>
      <c r="H21" s="34"/>
      <c r="I21" s="34">
        <f t="shared" si="3" ref="I21:I22">-G21*F21</f>
        <v>-0.6400000000000001</v>
      </c>
      <c r="J21" s="34"/>
      <c r="K21" s="35">
        <f t="shared" si="4" ref="K21:K22">I21*E21</f>
        <v>-0.6400000000000001</v>
      </c>
      <c r="L21" s="49"/>
      <c r="M21" s="49"/>
    </row>
    <row r="22" spans="8:8" ht="29.4" customHeight="1">
      <c r="B22" s="28"/>
      <c r="C22" s="34" t="s">
        <v>93</v>
      </c>
      <c r="D22" s="55" t="s">
        <v>19</v>
      </c>
      <c r="E22" s="55">
        <v>1.0</v>
      </c>
      <c r="F22" s="34">
        <v>0.8</v>
      </c>
      <c r="G22" s="34">
        <v>2.2</v>
      </c>
      <c r="H22" s="38"/>
      <c r="I22" s="34">
        <f t="shared" si="3"/>
        <v>-1.7600000000000002</v>
      </c>
      <c r="J22" s="38"/>
      <c r="K22" s="35">
        <f t="shared" si="4"/>
        <v>-1.7600000000000002</v>
      </c>
    </row>
    <row r="23" spans="8:8" ht="29.4" customHeight="1">
      <c r="B23" s="28"/>
      <c r="C23" s="55" t="s">
        <v>96</v>
      </c>
      <c r="D23" s="55" t="s">
        <v>19</v>
      </c>
      <c r="E23" s="55">
        <v>1.0</v>
      </c>
      <c r="F23" s="55">
        <v>7.58</v>
      </c>
      <c r="G23" s="55"/>
      <c r="H23" s="55">
        <f>3-0.2-0.025-0.1</f>
        <v>2.675</v>
      </c>
      <c r="I23" s="55"/>
      <c r="J23" s="55">
        <f>H23*F23</f>
        <v>20.2765</v>
      </c>
      <c r="K23" s="31">
        <f t="shared" si="5" ref="K23">J23*E23</f>
        <v>20.2765</v>
      </c>
    </row>
    <row r="24" spans="8:8" ht="29.4" customHeight="1">
      <c r="B24" s="28"/>
      <c r="C24" s="34" t="s">
        <v>92</v>
      </c>
      <c r="D24" s="34" t="s">
        <v>19</v>
      </c>
      <c r="E24" s="34">
        <v>1.0</v>
      </c>
      <c r="F24" s="34">
        <v>0.8</v>
      </c>
      <c r="G24" s="34">
        <v>0.8</v>
      </c>
      <c r="H24" s="34"/>
      <c r="I24" s="34">
        <f t="shared" si="6" ref="I24:I25">-G24*F24</f>
        <v>-0.6400000000000001</v>
      </c>
      <c r="J24" s="38"/>
      <c r="K24" s="35">
        <f t="shared" si="7" ref="K24:K25">I24*E24</f>
        <v>-0.6400000000000001</v>
      </c>
    </row>
    <row r="25" spans="8:8" ht="29.4" customHeight="1">
      <c r="B25" s="28"/>
      <c r="C25" s="34" t="s">
        <v>93</v>
      </c>
      <c r="D25" s="34" t="s">
        <v>19</v>
      </c>
      <c r="E25" s="34">
        <v>1.0</v>
      </c>
      <c r="F25" s="34">
        <v>0.8</v>
      </c>
      <c r="G25" s="34">
        <v>2.2</v>
      </c>
      <c r="H25" s="38"/>
      <c r="I25" s="34">
        <f t="shared" si="6"/>
        <v>-1.7600000000000002</v>
      </c>
      <c r="J25" s="34"/>
      <c r="K25" s="35">
        <f t="shared" si="7"/>
        <v>-1.7600000000000002</v>
      </c>
      <c r="L25" s="49"/>
    </row>
    <row r="26" spans="8:8" ht="29.4" customHeight="1">
      <c r="B26" s="28"/>
      <c r="C26" s="55" t="s">
        <v>97</v>
      </c>
      <c r="D26" s="55" t="s">
        <v>19</v>
      </c>
      <c r="E26" s="55">
        <v>1.0</v>
      </c>
      <c r="F26" s="55">
        <v>12.2</v>
      </c>
      <c r="G26" s="55"/>
      <c r="H26" s="55">
        <f>3-0.2-0.025-0.1</f>
        <v>2.675</v>
      </c>
      <c r="I26" s="34"/>
      <c r="J26" s="55">
        <f>H26*F26</f>
        <v>32.635</v>
      </c>
      <c r="K26" s="31">
        <f t="shared" si="8" ref="K26">J26*E26</f>
        <v>32.635</v>
      </c>
      <c r="L26" s="49"/>
    </row>
    <row r="27" spans="8:8" ht="29.4" customHeight="1">
      <c r="B27" s="28"/>
      <c r="C27" s="34" t="s">
        <v>98</v>
      </c>
      <c r="D27" s="55" t="s">
        <v>19</v>
      </c>
      <c r="E27" s="55">
        <v>1.0</v>
      </c>
      <c r="F27" s="34">
        <v>1.2</v>
      </c>
      <c r="G27" s="34">
        <v>1.2</v>
      </c>
      <c r="H27" s="34"/>
      <c r="I27" s="34">
        <f t="shared" si="9" ref="I27:I28">-G27*F27</f>
        <v>-1.44</v>
      </c>
      <c r="J27" s="34"/>
      <c r="K27" s="35">
        <f t="shared" si="10" ref="K27:K28">I27*E27</f>
        <v>-1.44</v>
      </c>
      <c r="L27" s="49"/>
    </row>
    <row r="28" spans="8:8" ht="29.4" customHeight="1">
      <c r="B28" s="28"/>
      <c r="C28" s="34" t="s">
        <v>93</v>
      </c>
      <c r="D28" s="55" t="s">
        <v>19</v>
      </c>
      <c r="E28" s="55">
        <v>1.0</v>
      </c>
      <c r="F28" s="34">
        <v>0.8</v>
      </c>
      <c r="G28" s="34">
        <v>2.2</v>
      </c>
      <c r="H28" s="38"/>
      <c r="I28" s="34">
        <f t="shared" si="9"/>
        <v>-1.7600000000000002</v>
      </c>
      <c r="J28" s="38"/>
      <c r="K28" s="35">
        <f t="shared" si="10"/>
        <v>-1.7600000000000002</v>
      </c>
    </row>
    <row r="29" spans="8:8" ht="29.4" customHeight="1">
      <c r="B29" s="28"/>
      <c r="C29" s="55"/>
      <c r="D29" s="56"/>
      <c r="E29" s="55"/>
      <c r="F29" s="55"/>
      <c r="G29" s="55"/>
      <c r="H29" s="56"/>
      <c r="I29" s="55"/>
      <c r="J29" s="56"/>
      <c r="K29" s="31"/>
    </row>
    <row r="30" spans="8:8" ht="29.4" customHeight="1">
      <c r="B30" s="28"/>
      <c r="C30" s="34"/>
      <c r="D30" s="34"/>
      <c r="E30" s="34"/>
      <c r="F30" s="34"/>
      <c r="G30" s="34"/>
      <c r="H30" s="34"/>
      <c r="I30" s="34"/>
      <c r="J30" s="34"/>
      <c r="K30" s="31"/>
    </row>
    <row r="31" spans="8:8" ht="29.4" customHeight="1">
      <c r="B31" s="28"/>
      <c r="C31" s="34"/>
      <c r="D31" s="34"/>
      <c r="E31" s="34"/>
      <c r="F31" s="50"/>
      <c r="G31" s="34"/>
      <c r="H31" s="34"/>
      <c r="I31" s="34"/>
      <c r="J31" s="50"/>
      <c r="K31" s="31"/>
    </row>
    <row r="32" spans="8:8" ht="29.4" customHeight="1">
      <c r="B32" s="28"/>
      <c r="C32" s="34"/>
      <c r="D32" s="34"/>
      <c r="E32" s="34"/>
      <c r="F32" s="50"/>
      <c r="G32" s="34"/>
      <c r="H32" s="34"/>
      <c r="I32" s="34"/>
      <c r="J32" s="50"/>
      <c r="K32" s="31"/>
    </row>
    <row r="33" spans="8:8" ht="29.4" customHeight="1">
      <c r="B33" s="28"/>
      <c r="C33" s="55"/>
      <c r="D33" s="56"/>
      <c r="E33" s="55"/>
      <c r="F33" s="64"/>
      <c r="G33" s="65"/>
      <c r="H33" s="55"/>
      <c r="I33" s="55"/>
      <c r="J33" s="56"/>
      <c r="K33" s="31"/>
    </row>
    <row r="34" spans="8:8" ht="29.4" customHeight="1">
      <c r="B34" s="28"/>
      <c r="C34" s="55"/>
      <c r="D34" s="56"/>
      <c r="E34" s="55"/>
      <c r="F34" s="64"/>
      <c r="G34" s="65"/>
      <c r="H34" s="55"/>
      <c r="I34" s="55"/>
      <c r="J34" s="56"/>
      <c r="K34" s="31"/>
    </row>
    <row r="35" spans="8:8" ht="29.4" customHeight="1">
      <c r="B35" s="28"/>
      <c r="C35" s="55"/>
      <c r="D35" s="56"/>
      <c r="E35" s="55"/>
      <c r="F35" s="64"/>
      <c r="G35" s="65"/>
      <c r="H35" s="55"/>
      <c r="I35" s="55"/>
      <c r="J35" s="56"/>
      <c r="K35" s="31"/>
    </row>
    <row r="36" spans="8:8" ht="29.4" customHeight="1">
      <c r="B36" s="28"/>
      <c r="C36" s="55"/>
      <c r="D36" s="56"/>
      <c r="E36" s="55"/>
      <c r="F36" s="64"/>
      <c r="G36" s="65"/>
      <c r="H36" s="55"/>
      <c r="I36" s="55"/>
      <c r="J36" s="56"/>
      <c r="K36" s="31"/>
    </row>
    <row r="37" spans="8:8" ht="29.4" customHeight="1">
      <c r="B37" s="40" t="s">
        <v>61</v>
      </c>
      <c r="C37" s="41"/>
      <c r="D37" s="41"/>
      <c r="E37" s="41"/>
      <c r="F37" s="41"/>
      <c r="G37" s="41"/>
      <c r="H37" s="41"/>
      <c r="I37" s="42">
        <f>SUM(K8:K36)</f>
        <v>186.56750000000002</v>
      </c>
      <c r="J37" s="43"/>
      <c r="K37" s="44"/>
    </row>
    <row r="38" spans="8:8" ht="29.4" customHeight="1"/>
    <row r="39" spans="8:8" ht="29.4" customHeight="1"/>
    <row r="40" spans="8:8" ht="29.4" customHeight="1"/>
    <row r="41" spans="8:8" ht="29.4" customHeight="1"/>
    <row r="42" spans="8:8" ht="29.4" customHeight="1"/>
    <row r="43" spans="8:8" ht="29.4" customHeight="1"/>
  </sheetData>
  <mergeCells count="20">
    <mergeCell ref="B37:H37"/>
    <mergeCell ref="I37:K37"/>
    <mergeCell ref="F15:G15"/>
    <mergeCell ref="H3:K3"/>
    <mergeCell ref="F11:G11"/>
    <mergeCell ref="E6:E7"/>
    <mergeCell ref="F6:H6"/>
    <mergeCell ref="I6:K6"/>
    <mergeCell ref="F16:G16"/>
    <mergeCell ref="F9:G9"/>
    <mergeCell ref="F10:G10"/>
    <mergeCell ref="F12:G12"/>
    <mergeCell ref="F13:G13"/>
    <mergeCell ref="B5:K5"/>
    <mergeCell ref="B6:B7"/>
    <mergeCell ref="C6:C7"/>
    <mergeCell ref="H2:K2"/>
    <mergeCell ref="F14:G14"/>
    <mergeCell ref="F8:G8"/>
    <mergeCell ref="D6:D7"/>
  </mergeCells>
  <printOptions horizontalCentered="1"/>
  <pageMargins left="0.7" right="0.7" top="0.75" bottom="0.75" header="0.3" footer="0.3"/>
  <pageSetup paperSize="9" scale="38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B1:O42"/>
  <sheetViews>
    <sheetView workbookViewId="0" zoomScale="85">
      <selection activeCell="F12" sqref="F12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21.777344" style="1"/>
    <col min="4" max="4" customWidth="1" width="31.0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11.777344" style="1"/>
    <col min="13" max="13" customWidth="1" width="3.5546875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/>
      <c r="H2" s="51" t="s">
        <v>17</v>
      </c>
      <c r="I2" s="4"/>
      <c r="J2" s="4"/>
      <c r="K2" s="4"/>
      <c r="L2" s="5"/>
    </row>
    <row r="3" spans="8:8" ht="25.8" customHeight="1">
      <c r="B3" s="6" t="s">
        <v>15</v>
      </c>
      <c r="C3" s="52"/>
      <c r="D3" s="52"/>
      <c r="E3" s="52"/>
      <c r="F3" s="52"/>
      <c r="G3" s="52"/>
      <c r="H3" s="52" t="s">
        <v>16</v>
      </c>
      <c r="I3" s="8"/>
      <c r="J3" s="8"/>
      <c r="K3" s="8"/>
      <c r="L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8:8" ht="28.2" customHeight="1">
      <c r="B5" s="13" t="s">
        <v>118</v>
      </c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8:8" ht="23.4" customHeight="1">
      <c r="B6" s="16" t="s">
        <v>0</v>
      </c>
      <c r="C6" s="17" t="s">
        <v>43</v>
      </c>
      <c r="D6" s="17" t="s">
        <v>1</v>
      </c>
      <c r="E6" s="17" t="s">
        <v>2</v>
      </c>
      <c r="F6" s="18" t="s">
        <v>3</v>
      </c>
      <c r="G6" s="19" t="s">
        <v>10</v>
      </c>
      <c r="H6" s="20"/>
      <c r="I6" s="21"/>
      <c r="J6" s="19" t="s">
        <v>11</v>
      </c>
      <c r="K6" s="20"/>
      <c r="L6" s="21"/>
    </row>
    <row r="7" spans="8:8" ht="27.6" customHeight="1">
      <c r="B7" s="22"/>
      <c r="C7" s="23"/>
      <c r="D7" s="29"/>
      <c r="E7" s="23"/>
      <c r="F7" s="24"/>
      <c r="G7" s="25" t="s">
        <v>4</v>
      </c>
      <c r="H7" s="26" t="s">
        <v>5</v>
      </c>
      <c r="I7" s="27" t="s">
        <v>6</v>
      </c>
      <c r="J7" s="25" t="s">
        <v>7</v>
      </c>
      <c r="K7" s="26" t="s">
        <v>8</v>
      </c>
      <c r="L7" s="27" t="s">
        <v>9</v>
      </c>
    </row>
    <row r="8" spans="8:8" ht="23.4" customHeight="1">
      <c r="B8" s="28">
        <v>1.0</v>
      </c>
      <c r="C8" s="17" t="s">
        <v>44</v>
      </c>
      <c r="D8" s="55" t="s">
        <v>45</v>
      </c>
      <c r="E8" s="56" t="s">
        <v>19</v>
      </c>
      <c r="F8" s="56">
        <v>1.0</v>
      </c>
      <c r="G8" s="45">
        <v>33.83</v>
      </c>
      <c r="H8" s="46"/>
      <c r="I8" s="56"/>
      <c r="J8" s="56"/>
      <c r="K8" s="56">
        <f>G8*F8</f>
        <v>33.83</v>
      </c>
      <c r="L8" s="31">
        <f>K8-J8</f>
        <v>33.83</v>
      </c>
    </row>
    <row r="9" spans="8:8" ht="23.4" customHeight="1">
      <c r="B9" s="28">
        <v>2.0</v>
      </c>
      <c r="C9" s="29"/>
      <c r="D9" s="55" t="s">
        <v>46</v>
      </c>
      <c r="E9" s="55" t="s">
        <v>19</v>
      </c>
      <c r="F9" s="55">
        <v>1.0</v>
      </c>
      <c r="G9" s="55">
        <v>25.54</v>
      </c>
      <c r="H9" s="55"/>
      <c r="I9" s="56">
        <f>3-0.2-0.025-0.1-0.1</f>
        <v>2.5749999999999997</v>
      </c>
      <c r="J9" s="55"/>
      <c r="K9" s="56">
        <f>I9*G9*F9</f>
        <v>65.76549999999999</v>
      </c>
      <c r="L9" s="31">
        <f t="shared" si="0" ref="L9:L35">K9-J9</f>
        <v>65.7655</v>
      </c>
    </row>
    <row r="10" spans="8:8" ht="23.4" customHeight="1">
      <c r="B10" s="28">
        <v>4.0</v>
      </c>
      <c r="C10" s="29"/>
      <c r="D10" s="34" t="s">
        <v>47</v>
      </c>
      <c r="E10" s="34" t="s">
        <v>19</v>
      </c>
      <c r="F10" s="34">
        <v>1.0</v>
      </c>
      <c r="G10" s="34"/>
      <c r="H10" s="34">
        <v>1.5</v>
      </c>
      <c r="I10" s="34">
        <f>2.1</f>
        <v>2.1</v>
      </c>
      <c r="J10" s="34">
        <f>I10*H10*F10</f>
        <v>3.1500000000000004</v>
      </c>
      <c r="K10" s="34"/>
      <c r="L10" s="31">
        <f t="shared" si="0"/>
        <v>-3.15</v>
      </c>
    </row>
    <row r="11" spans="8:8" ht="22.2" customHeight="1">
      <c r="B11" s="28">
        <v>5.0</v>
      </c>
      <c r="C11" s="29"/>
      <c r="D11" s="34" t="s">
        <v>48</v>
      </c>
      <c r="E11" s="34" t="s">
        <v>19</v>
      </c>
      <c r="F11" s="34">
        <v>1.0</v>
      </c>
      <c r="G11" s="34"/>
      <c r="H11" s="34">
        <v>1.2</v>
      </c>
      <c r="I11" s="34">
        <v>1.2</v>
      </c>
      <c r="J11" s="34">
        <f t="shared" si="1" ref="J11:J12">I11*H11*F11</f>
        <v>1.44</v>
      </c>
      <c r="K11" s="34"/>
      <c r="L11" s="31">
        <f t="shared" si="0"/>
        <v>-1.44</v>
      </c>
    </row>
    <row r="12" spans="8:8" ht="26.4" customHeight="1">
      <c r="B12" s="28">
        <v>6.0</v>
      </c>
      <c r="C12" s="29"/>
      <c r="D12" s="34" t="s">
        <v>49</v>
      </c>
      <c r="E12" s="34" t="s">
        <v>19</v>
      </c>
      <c r="F12" s="34">
        <v>1.0</v>
      </c>
      <c r="G12" s="34"/>
      <c r="H12" s="34">
        <v>1.77</v>
      </c>
      <c r="I12" s="34">
        <f>3-0.2-0.025-0.1-0.1</f>
        <v>2.5749999999999997</v>
      </c>
      <c r="J12" s="34">
        <f t="shared" si="1"/>
        <v>4.5577499999999995</v>
      </c>
      <c r="K12" s="34"/>
      <c r="L12" s="31">
        <f t="shared" si="0"/>
        <v>-4.55775</v>
      </c>
    </row>
    <row r="13" spans="8:8" ht="29.4" customHeight="1">
      <c r="B13" s="28">
        <v>7.0</v>
      </c>
      <c r="C13" s="37" t="s">
        <v>50</v>
      </c>
      <c r="D13" s="55" t="s">
        <v>45</v>
      </c>
      <c r="E13" s="56" t="s">
        <v>19</v>
      </c>
      <c r="F13" s="55">
        <v>1.0</v>
      </c>
      <c r="G13" s="47">
        <v>9.8</v>
      </c>
      <c r="H13" s="48"/>
      <c r="I13" s="55"/>
      <c r="J13" s="55"/>
      <c r="K13" s="56">
        <f>G13*F13</f>
        <v>9.8</v>
      </c>
      <c r="L13" s="31">
        <f t="shared" si="0"/>
        <v>9.8</v>
      </c>
    </row>
    <row r="14" spans="8:8" ht="29.4" customHeight="1">
      <c r="B14" s="28">
        <v>8.0</v>
      </c>
      <c r="C14" s="37"/>
      <c r="D14" s="55" t="s">
        <v>46</v>
      </c>
      <c r="E14" s="56" t="s">
        <v>19</v>
      </c>
      <c r="F14" s="55">
        <v>1.0</v>
      </c>
      <c r="G14" s="55">
        <v>12.98</v>
      </c>
      <c r="H14" s="55"/>
      <c r="I14" s="56">
        <f>3-0.2-0.025-0.1-0.1</f>
        <v>2.5749999999999997</v>
      </c>
      <c r="J14" s="55"/>
      <c r="K14" s="56">
        <f>I14*G14*F14</f>
        <v>33.4235</v>
      </c>
      <c r="L14" s="31">
        <f t="shared" si="0"/>
        <v>33.4235</v>
      </c>
    </row>
    <row r="15" spans="8:8" ht="29.4" customHeight="1">
      <c r="B15" s="28">
        <v>9.0</v>
      </c>
      <c r="C15" s="37"/>
      <c r="D15" s="34" t="s">
        <v>51</v>
      </c>
      <c r="E15" s="34" t="s">
        <v>19</v>
      </c>
      <c r="F15" s="34">
        <v>1.0</v>
      </c>
      <c r="G15" s="34"/>
      <c r="H15" s="34">
        <v>0.9</v>
      </c>
      <c r="I15" s="34">
        <v>2.1</v>
      </c>
      <c r="J15" s="34">
        <f>I15*H15*F15</f>
        <v>1.8900000000000001</v>
      </c>
      <c r="K15" s="34"/>
      <c r="L15" s="31">
        <f t="shared" si="0"/>
        <v>-1.89</v>
      </c>
    </row>
    <row r="16" spans="8:8" ht="29.4" customHeight="1">
      <c r="B16" s="28">
        <v>10.0</v>
      </c>
      <c r="C16" s="37"/>
      <c r="D16" s="34" t="s">
        <v>48</v>
      </c>
      <c r="E16" s="34" t="s">
        <v>19</v>
      </c>
      <c r="F16" s="34">
        <v>1.0</v>
      </c>
      <c r="G16" s="34"/>
      <c r="H16" s="34">
        <v>1.2</v>
      </c>
      <c r="I16" s="34">
        <v>1.2</v>
      </c>
      <c r="J16" s="34">
        <f t="shared" si="2" ref="J16">I16*H16*F16</f>
        <v>1.44</v>
      </c>
      <c r="K16" s="34"/>
      <c r="L16" s="31">
        <f t="shared" si="0"/>
        <v>-1.44</v>
      </c>
    </row>
    <row r="17" spans="8:8" ht="29.4" customHeight="1">
      <c r="B17" s="28">
        <v>11.0</v>
      </c>
      <c r="C17" s="37" t="s">
        <v>52</v>
      </c>
      <c r="D17" s="55" t="s">
        <v>45</v>
      </c>
      <c r="E17" s="56" t="s">
        <v>19</v>
      </c>
      <c r="F17" s="55">
        <v>1.0</v>
      </c>
      <c r="G17" s="47">
        <v>11.6</v>
      </c>
      <c r="H17" s="48"/>
      <c r="I17" s="55"/>
      <c r="J17" s="55"/>
      <c r="K17" s="56">
        <f>G17*F17</f>
        <v>11.6</v>
      </c>
      <c r="L17" s="31">
        <f t="shared" si="0"/>
        <v>11.6</v>
      </c>
    </row>
    <row r="18" spans="8:8" ht="29.4" customHeight="1">
      <c r="B18" s="28">
        <v>12.0</v>
      </c>
      <c r="C18" s="37"/>
      <c r="D18" s="55" t="s">
        <v>46</v>
      </c>
      <c r="E18" s="56" t="s">
        <v>19</v>
      </c>
      <c r="F18" s="55">
        <v>1.0</v>
      </c>
      <c r="G18" s="55">
        <v>13.62</v>
      </c>
      <c r="H18" s="55"/>
      <c r="I18" s="56">
        <f>3-0.2-0.025-0.1-0.1</f>
        <v>2.5749999999999997</v>
      </c>
      <c r="J18" s="55"/>
      <c r="K18" s="56">
        <f>I18*G18*F18</f>
        <v>35.07149999999999</v>
      </c>
      <c r="L18" s="31">
        <f t="shared" si="0"/>
        <v>35.0715</v>
      </c>
    </row>
    <row r="19" spans="8:8" ht="29.4" customHeight="1">
      <c r="B19" s="28">
        <v>13.0</v>
      </c>
      <c r="C19" s="37"/>
      <c r="D19" s="34" t="s">
        <v>51</v>
      </c>
      <c r="E19" s="34" t="s">
        <v>19</v>
      </c>
      <c r="F19" s="34">
        <v>1.0</v>
      </c>
      <c r="G19" s="34"/>
      <c r="H19" s="34">
        <v>0.9</v>
      </c>
      <c r="I19" s="34">
        <v>2.1</v>
      </c>
      <c r="J19" s="34">
        <f>I19*H19*F19</f>
        <v>1.8900000000000001</v>
      </c>
      <c r="K19" s="34"/>
      <c r="L19" s="31">
        <f t="shared" si="0"/>
        <v>-1.89</v>
      </c>
      <c r="M19" s="49"/>
      <c r="N19" s="49"/>
    </row>
    <row r="20" spans="8:8" ht="29.4" customHeight="1">
      <c r="B20" s="28">
        <v>14.0</v>
      </c>
      <c r="C20" s="37"/>
      <c r="D20" s="34" t="s">
        <v>48</v>
      </c>
      <c r="E20" s="34" t="s">
        <v>19</v>
      </c>
      <c r="F20" s="34">
        <v>1.0</v>
      </c>
      <c r="G20" s="34"/>
      <c r="H20" s="34">
        <v>1.2</v>
      </c>
      <c r="I20" s="34">
        <v>1.2</v>
      </c>
      <c r="J20" s="34">
        <f t="shared" si="3" ref="J20">I20*H20*F20</f>
        <v>1.44</v>
      </c>
      <c r="K20" s="34"/>
      <c r="L20" s="31">
        <f t="shared" si="0"/>
        <v>-1.44</v>
      </c>
      <c r="M20" s="49"/>
      <c r="N20" s="49"/>
    </row>
    <row r="21" spans="8:8" ht="29.4" customHeight="1">
      <c r="B21" s="28">
        <v>15.0</v>
      </c>
      <c r="C21" s="37" t="s">
        <v>53</v>
      </c>
      <c r="D21" s="55" t="s">
        <v>45</v>
      </c>
      <c r="E21" s="56" t="s">
        <v>19</v>
      </c>
      <c r="F21" s="55">
        <v>1.0</v>
      </c>
      <c r="G21" s="47">
        <v>19.28</v>
      </c>
      <c r="H21" s="48"/>
      <c r="I21" s="55"/>
      <c r="J21" s="55"/>
      <c r="K21" s="56">
        <f>G21*F21</f>
        <v>19.28</v>
      </c>
      <c r="L21" s="31">
        <f t="shared" si="0"/>
        <v>19.28</v>
      </c>
    </row>
    <row r="22" spans="8:8" ht="29.4" customHeight="1">
      <c r="B22" s="28">
        <v>16.0</v>
      </c>
      <c r="C22" s="37"/>
      <c r="D22" s="55" t="s">
        <v>46</v>
      </c>
      <c r="E22" s="56" t="s">
        <v>19</v>
      </c>
      <c r="F22" s="55">
        <v>1.0</v>
      </c>
      <c r="G22" s="55">
        <v>21.64</v>
      </c>
      <c r="H22" s="55"/>
      <c r="I22" s="56">
        <f>3-0.2-0.025-0.1-0.1</f>
        <v>2.5749999999999997</v>
      </c>
      <c r="J22" s="55"/>
      <c r="K22" s="56">
        <f>I22*G22*F22</f>
        <v>55.723</v>
      </c>
      <c r="L22" s="31">
        <f t="shared" si="0"/>
        <v>55.723</v>
      </c>
    </row>
    <row r="23" spans="8:8" ht="29.4" customHeight="1">
      <c r="B23" s="28"/>
      <c r="C23" s="37"/>
      <c r="D23" s="55" t="s">
        <v>60</v>
      </c>
      <c r="E23" s="56" t="s">
        <v>19</v>
      </c>
      <c r="F23" s="55">
        <v>1.0</v>
      </c>
      <c r="G23" s="55">
        <f>2.2+2.2+0.9</f>
        <v>5.300000000000001</v>
      </c>
      <c r="H23" s="55"/>
      <c r="I23" s="56">
        <f>0.12</f>
        <v>0.12</v>
      </c>
      <c r="J23" s="55"/>
      <c r="K23" s="56"/>
      <c r="L23" s="31">
        <f>I23*G23</f>
        <v>0.636</v>
      </c>
    </row>
    <row r="24" spans="8:8" ht="29.4" customHeight="1">
      <c r="B24" s="28">
        <v>17.0</v>
      </c>
      <c r="C24" s="37"/>
      <c r="D24" s="34" t="s">
        <v>51</v>
      </c>
      <c r="E24" s="34" t="s">
        <v>19</v>
      </c>
      <c r="F24" s="34">
        <v>1.0</v>
      </c>
      <c r="G24" s="34"/>
      <c r="H24" s="34">
        <v>0.9</v>
      </c>
      <c r="I24" s="34">
        <v>2.1</v>
      </c>
      <c r="J24" s="34">
        <f t="shared" si="4" ref="J24:J26">I24*H24*F24</f>
        <v>1.8900000000000001</v>
      </c>
      <c r="K24" s="34"/>
      <c r="L24" s="31">
        <f t="shared" si="0"/>
        <v>-1.89</v>
      </c>
      <c r="M24" s="49"/>
    </row>
    <row r="25" spans="8:8" ht="29.4" customHeight="1">
      <c r="B25" s="28">
        <v>18.0</v>
      </c>
      <c r="C25" s="37"/>
      <c r="D25" s="34" t="s">
        <v>54</v>
      </c>
      <c r="E25" s="34" t="s">
        <v>19</v>
      </c>
      <c r="F25" s="34">
        <v>1.0</v>
      </c>
      <c r="G25" s="34"/>
      <c r="H25" s="34">
        <v>0.8</v>
      </c>
      <c r="I25" s="34">
        <v>2.1</v>
      </c>
      <c r="J25" s="34">
        <f t="shared" si="4"/>
        <v>1.6800000000000002</v>
      </c>
      <c r="K25" s="34"/>
      <c r="L25" s="31">
        <f t="shared" si="0"/>
        <v>-1.68</v>
      </c>
      <c r="M25" s="49"/>
    </row>
    <row r="26" spans="8:8" ht="29.4" customHeight="1">
      <c r="B26" s="28">
        <v>19.0</v>
      </c>
      <c r="C26" s="37"/>
      <c r="D26" s="34" t="s">
        <v>48</v>
      </c>
      <c r="E26" s="34" t="s">
        <v>19</v>
      </c>
      <c r="F26" s="34">
        <v>1.0</v>
      </c>
      <c r="G26" s="34"/>
      <c r="H26" s="34">
        <v>1.2</v>
      </c>
      <c r="I26" s="34">
        <v>1.2</v>
      </c>
      <c r="J26" s="34">
        <f t="shared" si="4"/>
        <v>1.44</v>
      </c>
      <c r="K26" s="34"/>
      <c r="L26" s="31">
        <f t="shared" si="0"/>
        <v>-1.44</v>
      </c>
      <c r="M26" s="49"/>
    </row>
    <row r="27" spans="8:8" ht="29.4" customHeight="1">
      <c r="B27" s="28">
        <v>20.0</v>
      </c>
      <c r="C27" s="37" t="s">
        <v>55</v>
      </c>
      <c r="D27" s="55" t="s">
        <v>45</v>
      </c>
      <c r="E27" s="56" t="s">
        <v>19</v>
      </c>
      <c r="F27" s="55">
        <v>1.0</v>
      </c>
      <c r="G27" s="47">
        <v>9.8</v>
      </c>
      <c r="H27" s="48"/>
      <c r="I27" s="55"/>
      <c r="J27" s="55"/>
      <c r="K27" s="56">
        <f>G27*F27</f>
        <v>9.8</v>
      </c>
      <c r="L27" s="31">
        <f t="shared" si="0"/>
        <v>9.8</v>
      </c>
    </row>
    <row r="28" spans="8:8" ht="29.4" customHeight="1">
      <c r="B28" s="28">
        <v>21.0</v>
      </c>
      <c r="C28" s="37"/>
      <c r="D28" s="55" t="s">
        <v>46</v>
      </c>
      <c r="E28" s="56" t="s">
        <v>19</v>
      </c>
      <c r="F28" s="55">
        <v>1.0</v>
      </c>
      <c r="G28" s="55">
        <v>22.2</v>
      </c>
      <c r="H28" s="55"/>
      <c r="I28" s="56">
        <f>3-0.2-0.025-0.1-0.1</f>
        <v>2.5749999999999997</v>
      </c>
      <c r="J28" s="55"/>
      <c r="K28" s="56">
        <f>I28*G28*F28</f>
        <v>57.16499999999999</v>
      </c>
      <c r="L28" s="31">
        <f t="shared" si="0"/>
        <v>57.165</v>
      </c>
    </row>
    <row r="29" spans="8:8" ht="29.4" customHeight="1">
      <c r="B29" s="28">
        <v>22.0</v>
      </c>
      <c r="C29" s="37"/>
      <c r="D29" s="34" t="s">
        <v>49</v>
      </c>
      <c r="E29" s="34" t="s">
        <v>19</v>
      </c>
      <c r="F29" s="34">
        <v>1.0</v>
      </c>
      <c r="G29" s="34"/>
      <c r="H29" s="34">
        <v>1.77</v>
      </c>
      <c r="I29" s="34">
        <f>3-0.2-0.025-0.1-0.1</f>
        <v>2.5749999999999997</v>
      </c>
      <c r="J29" s="34">
        <f t="shared" si="5" ref="J29:J31">I29*H29*F29</f>
        <v>4.5577499999999995</v>
      </c>
      <c r="K29" s="34"/>
      <c r="L29" s="31">
        <f t="shared" si="0"/>
        <v>-4.55775</v>
      </c>
    </row>
    <row r="30" spans="8:8" ht="29.4" customHeight="1">
      <c r="B30" s="28">
        <v>23.0</v>
      </c>
      <c r="C30" s="37"/>
      <c r="D30" s="34" t="s">
        <v>51</v>
      </c>
      <c r="E30" s="34" t="s">
        <v>19</v>
      </c>
      <c r="F30" s="34">
        <v>3.0</v>
      </c>
      <c r="G30" s="50"/>
      <c r="H30" s="34">
        <v>0.9</v>
      </c>
      <c r="I30" s="34">
        <v>2.1</v>
      </c>
      <c r="J30" s="34">
        <f t="shared" si="5"/>
        <v>5.67</v>
      </c>
      <c r="K30" s="50"/>
      <c r="L30" s="31">
        <f t="shared" si="0"/>
        <v>-5.67</v>
      </c>
    </row>
    <row r="31" spans="8:8" ht="29.4" customHeight="1">
      <c r="B31" s="28">
        <v>24.0</v>
      </c>
      <c r="C31" s="37"/>
      <c r="D31" s="34" t="s">
        <v>54</v>
      </c>
      <c r="E31" s="34" t="s">
        <v>19</v>
      </c>
      <c r="F31" s="34">
        <v>3.0</v>
      </c>
      <c r="G31" s="50"/>
      <c r="H31" s="34">
        <v>0.8</v>
      </c>
      <c r="I31" s="34">
        <v>2.1</v>
      </c>
      <c r="J31" s="34">
        <f t="shared" si="5"/>
        <v>5.040000000000001</v>
      </c>
      <c r="K31" s="50"/>
      <c r="L31" s="31">
        <f t="shared" si="0"/>
        <v>-5.04</v>
      </c>
    </row>
    <row r="32" spans="8:8" ht="29.4" customHeight="1">
      <c r="B32" s="28">
        <v>25.0</v>
      </c>
      <c r="C32" s="55" t="s">
        <v>56</v>
      </c>
      <c r="D32" s="55" t="s">
        <v>45</v>
      </c>
      <c r="E32" s="56" t="s">
        <v>19</v>
      </c>
      <c r="F32" s="55">
        <v>1.0</v>
      </c>
      <c r="G32" s="47">
        <v>2.62</v>
      </c>
      <c r="H32" s="48"/>
      <c r="I32" s="55"/>
      <c r="J32" s="55"/>
      <c r="K32" s="56">
        <f t="shared" si="6" ref="K32:K35">G32*F32</f>
        <v>2.62</v>
      </c>
      <c r="L32" s="31">
        <f t="shared" si="0"/>
        <v>2.62</v>
      </c>
    </row>
    <row r="33" spans="8:8" ht="29.4" customHeight="1">
      <c r="B33" s="28">
        <v>26.0</v>
      </c>
      <c r="C33" s="55" t="s">
        <v>57</v>
      </c>
      <c r="D33" s="55" t="s">
        <v>45</v>
      </c>
      <c r="E33" s="56" t="s">
        <v>19</v>
      </c>
      <c r="F33" s="55">
        <v>1.0</v>
      </c>
      <c r="G33" s="47">
        <v>3.75</v>
      </c>
      <c r="H33" s="48"/>
      <c r="I33" s="55"/>
      <c r="J33" s="55"/>
      <c r="K33" s="56">
        <f t="shared" si="6"/>
        <v>3.75</v>
      </c>
      <c r="L33" s="31">
        <f t="shared" si="0"/>
        <v>3.75</v>
      </c>
    </row>
    <row r="34" spans="8:8" ht="29.4" customHeight="1">
      <c r="B34" s="28">
        <v>27.0</v>
      </c>
      <c r="C34" s="55" t="s">
        <v>58</v>
      </c>
      <c r="D34" s="55" t="s">
        <v>45</v>
      </c>
      <c r="E34" s="56" t="s">
        <v>19</v>
      </c>
      <c r="F34" s="55">
        <v>1.0</v>
      </c>
      <c r="G34" s="47">
        <v>3.27</v>
      </c>
      <c r="H34" s="48"/>
      <c r="I34" s="55"/>
      <c r="J34" s="55"/>
      <c r="K34" s="56">
        <f t="shared" si="6"/>
        <v>3.27</v>
      </c>
      <c r="L34" s="31">
        <f t="shared" si="0"/>
        <v>3.27</v>
      </c>
    </row>
    <row r="35" spans="8:8" ht="29.4" customHeight="1">
      <c r="B35" s="28">
        <v>28.0</v>
      </c>
      <c r="C35" s="55" t="s">
        <v>59</v>
      </c>
      <c r="D35" s="55" t="s">
        <v>45</v>
      </c>
      <c r="E35" s="56" t="s">
        <v>19</v>
      </c>
      <c r="F35" s="55">
        <v>1.0</v>
      </c>
      <c r="G35" s="47">
        <v>7.3</v>
      </c>
      <c r="H35" s="48"/>
      <c r="I35" s="55"/>
      <c r="J35" s="55"/>
      <c r="K35" s="56">
        <f t="shared" si="6"/>
        <v>7.3</v>
      </c>
      <c r="L35" s="31">
        <f t="shared" si="0"/>
        <v>7.3</v>
      </c>
    </row>
    <row r="36" spans="8:8" ht="29.4" customHeight="1">
      <c r="B36" s="40" t="s">
        <v>117</v>
      </c>
      <c r="C36" s="41"/>
      <c r="D36" s="41"/>
      <c r="E36" s="41"/>
      <c r="F36" s="41"/>
      <c r="G36" s="41"/>
      <c r="H36" s="41"/>
      <c r="I36" s="41"/>
      <c r="J36" s="42">
        <f>SUM(L8:L35)</f>
        <v>312.94899999999996</v>
      </c>
      <c r="K36" s="43"/>
      <c r="L36" s="44"/>
    </row>
    <row r="37" spans="8:8" ht="29.4" customHeight="1"/>
    <row r="38" spans="8:8" ht="29.4" customHeight="1"/>
    <row r="39" spans="8:8" ht="29.4" customHeight="1"/>
    <row r="40" spans="8:8" ht="29.4" customHeight="1"/>
    <row r="41" spans="8:8" ht="29.4" customHeight="1"/>
    <row r="42" spans="8:8" ht="29.4" customHeight="1"/>
  </sheetData>
  <mergeCells count="26">
    <mergeCell ref="G34:H34"/>
    <mergeCell ref="G35:H35"/>
    <mergeCell ref="B36:I36"/>
    <mergeCell ref="J36:L36"/>
    <mergeCell ref="G32:H32"/>
    <mergeCell ref="G33:H33"/>
    <mergeCell ref="C27:C31"/>
    <mergeCell ref="F6:F7"/>
    <mergeCell ref="G13:H13"/>
    <mergeCell ref="B6:B7"/>
    <mergeCell ref="C21:C26"/>
    <mergeCell ref="I3:L3"/>
    <mergeCell ref="G8:H8"/>
    <mergeCell ref="G21:H21"/>
    <mergeCell ref="C13:C16"/>
    <mergeCell ref="G17:H17"/>
    <mergeCell ref="B5:L5"/>
    <mergeCell ref="I2:L2"/>
    <mergeCell ref="C17:C20"/>
    <mergeCell ref="G27:H27"/>
    <mergeCell ref="G6:I6"/>
    <mergeCell ref="C8:C12"/>
    <mergeCell ref="C6:C7"/>
    <mergeCell ref="D6:D7"/>
    <mergeCell ref="E6:E7"/>
    <mergeCell ref="J6:L6"/>
  </mergeCells>
  <printOptions horizontalCentered="1"/>
  <pageMargins left="0.7" right="0.7" top="0.75" bottom="0.75" header="0.3" footer="0.3"/>
  <pageSetup paperSize="9" scale="38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B1:M30"/>
  <sheetViews>
    <sheetView workbookViewId="0" topLeftCell="A19" zoomScale="85">
      <selection activeCell="B6" sqref="B6:B7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21.777344" style="1"/>
    <col min="4" max="4" customWidth="1" width="31.0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11.777344" style="1"/>
    <col min="13" max="13" customWidth="1" width="3.5546875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/>
      <c r="H2" s="51" t="s">
        <v>17</v>
      </c>
      <c r="I2" s="4"/>
      <c r="J2" s="4"/>
      <c r="K2" s="4"/>
      <c r="L2" s="5"/>
    </row>
    <row r="3" spans="8:8" ht="25.8" customHeight="1">
      <c r="B3" s="6" t="s">
        <v>15</v>
      </c>
      <c r="C3" s="52"/>
      <c r="D3" s="52"/>
      <c r="E3" s="52"/>
      <c r="F3" s="52"/>
      <c r="G3" s="52"/>
      <c r="H3" s="52" t="s">
        <v>16</v>
      </c>
      <c r="I3" s="8"/>
      <c r="J3" s="8"/>
      <c r="K3" s="8"/>
      <c r="L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8:8" ht="28.2" customHeight="1">
      <c r="B5" s="13" t="s">
        <v>116</v>
      </c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8:8" ht="23.4" customHeight="1">
      <c r="B6" s="16" t="s">
        <v>0</v>
      </c>
      <c r="C6" s="17" t="s">
        <v>63</v>
      </c>
      <c r="D6" s="17" t="s">
        <v>1</v>
      </c>
      <c r="E6" s="17" t="s">
        <v>2</v>
      </c>
      <c r="F6" s="18" t="s">
        <v>3</v>
      </c>
      <c r="G6" s="19" t="s">
        <v>10</v>
      </c>
      <c r="H6" s="20"/>
      <c r="I6" s="21"/>
      <c r="J6" s="19" t="s">
        <v>11</v>
      </c>
      <c r="K6" s="20"/>
      <c r="L6" s="21"/>
    </row>
    <row r="7" spans="8:8" ht="27.6" customHeight="1">
      <c r="B7" s="22"/>
      <c r="C7" s="29"/>
      <c r="D7" s="29"/>
      <c r="E7" s="23"/>
      <c r="F7" s="24"/>
      <c r="G7" s="53" t="s">
        <v>4</v>
      </c>
      <c r="H7" s="54" t="s">
        <v>5</v>
      </c>
      <c r="I7" s="27" t="s">
        <v>6</v>
      </c>
      <c r="J7" s="25" t="s">
        <v>7</v>
      </c>
      <c r="K7" s="26" t="s">
        <v>8</v>
      </c>
      <c r="L7" s="27" t="s">
        <v>9</v>
      </c>
    </row>
    <row r="8" spans="8:8" ht="23.4" customHeight="1">
      <c r="B8" s="28">
        <v>1.0</v>
      </c>
      <c r="C8" s="37" t="s">
        <v>64</v>
      </c>
      <c r="D8" s="55" t="s">
        <v>65</v>
      </c>
      <c r="E8" s="56" t="s">
        <v>19</v>
      </c>
      <c r="F8" s="56">
        <v>1.0</v>
      </c>
      <c r="G8" s="55">
        <v>20.42</v>
      </c>
      <c r="H8" s="55"/>
      <c r="I8" s="56">
        <v>12.15</v>
      </c>
      <c r="J8" s="56"/>
      <c r="K8" s="56">
        <f>I8*G8</f>
        <v>248.10300000000004</v>
      </c>
      <c r="L8" s="31">
        <f>K8*F8</f>
        <v>248.10300000000004</v>
      </c>
    </row>
    <row r="9" spans="8:8" ht="23.4" customHeight="1">
      <c r="B9" s="28">
        <v>2.0</v>
      </c>
      <c r="C9" s="37"/>
      <c r="D9" s="34" t="s">
        <v>66</v>
      </c>
      <c r="E9" s="34" t="s">
        <v>19</v>
      </c>
      <c r="F9" s="34">
        <v>1.0</v>
      </c>
      <c r="G9" s="34">
        <v>1.4</v>
      </c>
      <c r="H9" s="34"/>
      <c r="I9" s="38">
        <v>4.65</v>
      </c>
      <c r="J9" s="34">
        <f>I9*G9</f>
        <v>6.51</v>
      </c>
      <c r="K9" s="38"/>
      <c r="L9" s="35">
        <f>-J9*F9</f>
        <v>-6.51</v>
      </c>
    </row>
    <row r="10" spans="8:8" ht="23.4" customHeight="1">
      <c r="B10" s="28">
        <v>4.0</v>
      </c>
      <c r="C10" s="37"/>
      <c r="D10" s="34" t="s">
        <v>67</v>
      </c>
      <c r="E10" s="34" t="s">
        <v>19</v>
      </c>
      <c r="F10" s="34">
        <v>1.0</v>
      </c>
      <c r="G10" s="34">
        <v>0.35</v>
      </c>
      <c r="H10" s="34"/>
      <c r="I10" s="34">
        <v>4.65</v>
      </c>
      <c r="J10" s="34">
        <f>I10*G10</f>
        <v>1.6275</v>
      </c>
      <c r="K10" s="34"/>
      <c r="L10" s="35">
        <f t="shared" si="0" ref="L10:L13">-J10*F10</f>
        <v>-1.6275</v>
      </c>
    </row>
    <row r="11" spans="8:8" ht="23.4" customHeight="1">
      <c r="B11" s="28">
        <v>5.0</v>
      </c>
      <c r="C11" s="37"/>
      <c r="D11" s="34" t="s">
        <v>70</v>
      </c>
      <c r="E11" s="34" t="s">
        <v>19</v>
      </c>
      <c r="F11" s="34">
        <v>1.0</v>
      </c>
      <c r="G11" s="34">
        <v>2.4</v>
      </c>
      <c r="H11" s="34"/>
      <c r="I11" s="34">
        <v>0.77</v>
      </c>
      <c r="J11" s="34">
        <f>I11*G11</f>
        <v>1.8479999999999999</v>
      </c>
      <c r="K11" s="34"/>
      <c r="L11" s="35">
        <f t="shared" si="0"/>
        <v>-1.8479999999999999</v>
      </c>
    </row>
    <row r="12" spans="8:8" ht="23.4" customHeight="1">
      <c r="B12" s="28">
        <v>6.0</v>
      </c>
      <c r="C12" s="37"/>
      <c r="D12" s="34" t="s">
        <v>68</v>
      </c>
      <c r="E12" s="34" t="s">
        <v>19</v>
      </c>
      <c r="F12" s="34">
        <v>12.0</v>
      </c>
      <c r="G12" s="34">
        <v>1.6</v>
      </c>
      <c r="H12" s="34"/>
      <c r="I12" s="34">
        <v>1.3</v>
      </c>
      <c r="J12" s="34">
        <f t="shared" si="1" ref="J12:J13">I12*G12</f>
        <v>2.08</v>
      </c>
      <c r="K12" s="34"/>
      <c r="L12" s="35">
        <f>-J12*F12</f>
        <v>-24.96</v>
      </c>
    </row>
    <row r="13" spans="8:8" ht="23.4" customHeight="1">
      <c r="B13" s="28">
        <v>7.0</v>
      </c>
      <c r="C13" s="37"/>
      <c r="D13" s="34" t="s">
        <v>69</v>
      </c>
      <c r="E13" s="34" t="s">
        <v>19</v>
      </c>
      <c r="F13" s="34">
        <v>3.0</v>
      </c>
      <c r="G13" s="34">
        <v>1.6</v>
      </c>
      <c r="H13" s="34"/>
      <c r="I13" s="34">
        <v>1.3</v>
      </c>
      <c r="J13" s="34">
        <f t="shared" si="1"/>
        <v>2.08</v>
      </c>
      <c r="K13" s="34"/>
      <c r="L13" s="35">
        <f t="shared" si="0"/>
        <v>-6.24</v>
      </c>
    </row>
    <row r="14" spans="8:8" ht="23.4" customHeight="1">
      <c r="B14" s="28">
        <v>8.0</v>
      </c>
      <c r="C14" s="37" t="s">
        <v>71</v>
      </c>
      <c r="D14" s="55" t="s">
        <v>65</v>
      </c>
      <c r="E14" s="56" t="s">
        <v>19</v>
      </c>
      <c r="F14" s="56">
        <v>1.0</v>
      </c>
      <c r="G14" s="55">
        <v>20.42</v>
      </c>
      <c r="H14" s="55"/>
      <c r="I14" s="56">
        <v>12.15</v>
      </c>
      <c r="J14" s="56"/>
      <c r="K14" s="56">
        <f>I14*G14</f>
        <v>248.10300000000004</v>
      </c>
      <c r="L14" s="31">
        <f>K14*F14</f>
        <v>248.10300000000004</v>
      </c>
    </row>
    <row r="15" spans="8:8" ht="23.4" customHeight="1">
      <c r="B15" s="28">
        <v>9.0</v>
      </c>
      <c r="C15" s="37"/>
      <c r="D15" s="55" t="s">
        <v>72</v>
      </c>
      <c r="E15" s="56" t="s">
        <v>19</v>
      </c>
      <c r="F15" s="56">
        <v>1.0</v>
      </c>
      <c r="G15" s="55">
        <v>4.34</v>
      </c>
      <c r="H15" s="55"/>
      <c r="I15" s="56">
        <v>2.0</v>
      </c>
      <c r="J15" s="56"/>
      <c r="K15" s="56"/>
      <c r="L15" s="31">
        <f>I15*G15*F15</f>
        <v>8.68</v>
      </c>
    </row>
    <row r="16" spans="8:8" ht="23.4" customHeight="1">
      <c r="B16" s="28">
        <v>10.0</v>
      </c>
      <c r="C16" s="37"/>
      <c r="D16" s="55" t="s">
        <v>73</v>
      </c>
      <c r="E16" s="56" t="s">
        <v>19</v>
      </c>
      <c r="F16" s="56">
        <v>1.0</v>
      </c>
      <c r="G16" s="47">
        <v>9.0</v>
      </c>
      <c r="H16" s="57"/>
      <c r="I16" s="48"/>
      <c r="J16" s="56"/>
      <c r="K16" s="56"/>
      <c r="L16" s="31">
        <f>G16</f>
        <v>9.0</v>
      </c>
    </row>
    <row r="17" spans="8:8" ht="23.4" customHeight="1">
      <c r="B17" s="28">
        <v>11.0</v>
      </c>
      <c r="C17" s="37"/>
      <c r="D17" s="34" t="s">
        <v>67</v>
      </c>
      <c r="E17" s="34" t="s">
        <v>19</v>
      </c>
      <c r="F17" s="34">
        <v>1.0</v>
      </c>
      <c r="G17" s="34">
        <v>1.37</v>
      </c>
      <c r="H17" s="34"/>
      <c r="I17" s="34">
        <v>4.65</v>
      </c>
      <c r="J17" s="34">
        <f>I17*G17</f>
        <v>6.370500000000001</v>
      </c>
      <c r="K17" s="34"/>
      <c r="L17" s="35">
        <f t="shared" si="2" ref="L17">-J17*F17</f>
        <v>-6.370500000000001</v>
      </c>
    </row>
    <row r="18" spans="8:8" ht="23.4" customHeight="1">
      <c r="B18" s="28">
        <v>12.0</v>
      </c>
      <c r="C18" s="37"/>
      <c r="D18" s="34" t="s">
        <v>68</v>
      </c>
      <c r="E18" s="34" t="s">
        <v>19</v>
      </c>
      <c r="F18" s="34">
        <v>12.0</v>
      </c>
      <c r="G18" s="34">
        <v>1.6</v>
      </c>
      <c r="H18" s="34"/>
      <c r="I18" s="34">
        <v>1.3</v>
      </c>
      <c r="J18" s="34">
        <f t="shared" si="3" ref="J18:J21">I18*G18</f>
        <v>2.08</v>
      </c>
      <c r="K18" s="34"/>
      <c r="L18" s="35">
        <f>-J18*F18</f>
        <v>-24.96</v>
      </c>
    </row>
    <row r="19" spans="8:8" ht="23.4" customHeight="1">
      <c r="B19" s="28">
        <v>13.0</v>
      </c>
      <c r="C19" s="37"/>
      <c r="D19" s="34" t="s">
        <v>69</v>
      </c>
      <c r="E19" s="34" t="s">
        <v>19</v>
      </c>
      <c r="F19" s="34">
        <v>3.0</v>
      </c>
      <c r="G19" s="34">
        <v>1.6</v>
      </c>
      <c r="H19" s="34"/>
      <c r="I19" s="34">
        <v>1.3</v>
      </c>
      <c r="J19" s="34">
        <f t="shared" si="3"/>
        <v>2.08</v>
      </c>
      <c r="K19" s="34"/>
      <c r="L19" s="35">
        <f t="shared" si="4" ref="L19">-J19*F19</f>
        <v>-6.24</v>
      </c>
    </row>
    <row r="20" spans="8:8" ht="23.4" customHeight="1">
      <c r="B20" s="28">
        <v>14.0</v>
      </c>
      <c r="C20" s="36" t="s">
        <v>74</v>
      </c>
      <c r="D20" s="55" t="s">
        <v>65</v>
      </c>
      <c r="E20" s="56" t="s">
        <v>19</v>
      </c>
      <c r="F20" s="56">
        <v>1.0</v>
      </c>
      <c r="G20" s="55">
        <v>19.33</v>
      </c>
      <c r="H20" s="55"/>
      <c r="I20" s="56">
        <v>12.15</v>
      </c>
      <c r="J20" s="56"/>
      <c r="K20" s="56">
        <f>I20*G20</f>
        <v>234.8595</v>
      </c>
      <c r="L20" s="31">
        <f>K20*F20</f>
        <v>234.8595</v>
      </c>
    </row>
    <row r="21" spans="8:8" ht="29.4" customHeight="1">
      <c r="B21" s="28">
        <v>15.0</v>
      </c>
      <c r="C21" s="33"/>
      <c r="D21" s="34" t="s">
        <v>68</v>
      </c>
      <c r="E21" s="34" t="s">
        <v>19</v>
      </c>
      <c r="F21" s="34">
        <v>12.0</v>
      </c>
      <c r="G21" s="34">
        <v>1.6</v>
      </c>
      <c r="H21" s="34"/>
      <c r="I21" s="34">
        <v>1.3</v>
      </c>
      <c r="J21" s="34">
        <f t="shared" si="3"/>
        <v>2.08</v>
      </c>
      <c r="K21" s="34"/>
      <c r="L21" s="35">
        <f>-J21*F21</f>
        <v>-24.96</v>
      </c>
    </row>
    <row r="22" spans="8:8" ht="29.4" customHeight="1">
      <c r="B22" s="28">
        <v>16.0</v>
      </c>
      <c r="C22" s="37" t="s">
        <v>75</v>
      </c>
      <c r="D22" s="55" t="s">
        <v>65</v>
      </c>
      <c r="E22" s="56" t="s">
        <v>19</v>
      </c>
      <c r="F22" s="56">
        <v>1.0</v>
      </c>
      <c r="G22" s="55">
        <v>21.4</v>
      </c>
      <c r="H22" s="55"/>
      <c r="I22" s="56">
        <v>12.15</v>
      </c>
      <c r="J22" s="56"/>
      <c r="K22" s="56">
        <f>I22*G22</f>
        <v>260.01</v>
      </c>
      <c r="L22" s="31">
        <f>K22*F22</f>
        <v>260.01</v>
      </c>
    </row>
    <row r="23" spans="8:8" ht="29.4" customHeight="1">
      <c r="B23" s="28">
        <v>17.0</v>
      </c>
      <c r="C23" s="37"/>
      <c r="D23" s="55" t="s">
        <v>76</v>
      </c>
      <c r="E23" s="55" t="s">
        <v>19</v>
      </c>
      <c r="F23" s="55">
        <v>4.0</v>
      </c>
      <c r="G23" s="55">
        <v>9.0</v>
      </c>
      <c r="H23" s="55"/>
      <c r="I23" s="55">
        <v>0.6</v>
      </c>
      <c r="J23" s="55"/>
      <c r="K23" s="56">
        <f t="shared" si="5" ref="K23:K24">I23*G23</f>
        <v>5.3999999999999995</v>
      </c>
      <c r="L23" s="31">
        <f t="shared" si="6" ref="L23:L24">K23*F23</f>
        <v>21.599999999999998</v>
      </c>
    </row>
    <row r="24" spans="8:8" ht="29.4" customHeight="1">
      <c r="B24" s="28">
        <v>18.0</v>
      </c>
      <c r="C24" s="37"/>
      <c r="D24" s="55" t="s">
        <v>77</v>
      </c>
      <c r="E24" s="55" t="s">
        <v>19</v>
      </c>
      <c r="F24" s="55">
        <v>2.0</v>
      </c>
      <c r="G24" s="55">
        <v>5.9</v>
      </c>
      <c r="H24" s="55"/>
      <c r="I24" s="55">
        <v>0.6</v>
      </c>
      <c r="J24" s="55"/>
      <c r="K24" s="56">
        <f t="shared" si="5"/>
        <v>3.54</v>
      </c>
      <c r="L24" s="31">
        <f t="shared" si="6"/>
        <v>7.08</v>
      </c>
    </row>
    <row r="25" spans="8:8" ht="29.4" customHeight="1">
      <c r="B25" s="28">
        <v>19.0</v>
      </c>
      <c r="C25" s="37"/>
      <c r="D25" s="34" t="s">
        <v>78</v>
      </c>
      <c r="E25" s="34" t="s">
        <v>19</v>
      </c>
      <c r="F25" s="34">
        <v>4.0</v>
      </c>
      <c r="G25" s="34">
        <v>3.3</v>
      </c>
      <c r="H25" s="34"/>
      <c r="I25" s="34">
        <f>11.15-4.65</f>
        <v>6.5</v>
      </c>
      <c r="J25" s="34">
        <f t="shared" si="7" ref="J25:J28">I25*G25</f>
        <v>21.45</v>
      </c>
      <c r="K25" s="34"/>
      <c r="L25" s="35">
        <f t="shared" si="8" ref="L25:L28">-J25*F25</f>
        <v>-85.8</v>
      </c>
    </row>
    <row r="26" spans="8:8" ht="29.4" customHeight="1">
      <c r="B26" s="28">
        <v>20.0</v>
      </c>
      <c r="C26" s="37"/>
      <c r="D26" s="34" t="s">
        <v>79</v>
      </c>
      <c r="E26" s="34" t="s">
        <v>19</v>
      </c>
      <c r="F26" s="34">
        <v>1.0</v>
      </c>
      <c r="G26" s="34">
        <v>7.0</v>
      </c>
      <c r="H26" s="34"/>
      <c r="I26" s="34">
        <v>0.6</v>
      </c>
      <c r="J26" s="34">
        <f t="shared" si="7"/>
        <v>4.2</v>
      </c>
      <c r="K26" s="34"/>
      <c r="L26" s="35">
        <f t="shared" si="8"/>
        <v>-4.2</v>
      </c>
    </row>
    <row r="27" spans="8:8" ht="29.4" customHeight="1">
      <c r="B27" s="28">
        <v>21.0</v>
      </c>
      <c r="C27" s="37"/>
      <c r="D27" s="34" t="s">
        <v>80</v>
      </c>
      <c r="E27" s="34" t="s">
        <v>19</v>
      </c>
      <c r="F27" s="34">
        <v>1.0</v>
      </c>
      <c r="G27" s="34">
        <v>2.75</v>
      </c>
      <c r="H27" s="34"/>
      <c r="I27" s="34">
        <v>4.65</v>
      </c>
      <c r="J27" s="34">
        <f t="shared" si="7"/>
        <v>12.787500000000001</v>
      </c>
      <c r="K27" s="34"/>
      <c r="L27" s="35">
        <f t="shared" si="8"/>
        <v>-12.787500000000001</v>
      </c>
    </row>
    <row r="28" spans="8:8" ht="29.4" customHeight="1">
      <c r="B28" s="28">
        <v>22.0</v>
      </c>
      <c r="C28" s="37"/>
      <c r="D28" s="34" t="s">
        <v>81</v>
      </c>
      <c r="E28" s="34" t="s">
        <v>19</v>
      </c>
      <c r="F28" s="34">
        <v>2.0</v>
      </c>
      <c r="G28" s="34">
        <v>1.6</v>
      </c>
      <c r="H28" s="34"/>
      <c r="I28" s="34">
        <v>2.2</v>
      </c>
      <c r="J28" s="34">
        <f t="shared" si="7"/>
        <v>3.5200000000000005</v>
      </c>
      <c r="K28" s="34"/>
      <c r="L28" s="35">
        <f t="shared" si="8"/>
        <v>-7.040000000000001</v>
      </c>
    </row>
    <row r="29" spans="8:8" ht="29.4" customHeight="1">
      <c r="B29" s="40" t="s">
        <v>115</v>
      </c>
      <c r="C29" s="58"/>
      <c r="D29" s="41"/>
      <c r="E29" s="41"/>
      <c r="F29" s="41"/>
      <c r="G29" s="41"/>
      <c r="H29" s="41"/>
      <c r="I29" s="41"/>
      <c r="J29" s="42">
        <f>SUM(L8:L28)</f>
        <v>823.8920000000002</v>
      </c>
      <c r="K29" s="43"/>
      <c r="L29" s="44"/>
    </row>
    <row r="30" spans="8:8" ht="29.4" customHeight="1"/>
  </sheetData>
  <mergeCells count="17">
    <mergeCell ref="J29:L29"/>
    <mergeCell ref="G16:I16"/>
    <mergeCell ref="B29:I29"/>
    <mergeCell ref="B5:L5"/>
    <mergeCell ref="B6:B7"/>
    <mergeCell ref="C22:C28"/>
    <mergeCell ref="I3:L3"/>
    <mergeCell ref="I2:L2"/>
    <mergeCell ref="C14:C19"/>
    <mergeCell ref="C20:C21"/>
    <mergeCell ref="G6:I6"/>
    <mergeCell ref="C8:C13"/>
    <mergeCell ref="C6:C7"/>
    <mergeCell ref="D6:D7"/>
    <mergeCell ref="E6:E7"/>
    <mergeCell ref="F6:F7"/>
    <mergeCell ref="J6:L6"/>
  </mergeCells>
  <printOptions horizontalCentered="1"/>
  <pageMargins left="0.7" right="0.7" top="0.75" bottom="0.75" header="0.3" footer="0.3"/>
  <pageSetup paperSize="9" scale="38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B1:L25"/>
  <sheetViews>
    <sheetView workbookViewId="0" topLeftCell="A4" zoomScale="85">
      <selection activeCell="J17" sqref="J17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31.0" style="1"/>
    <col min="4" max="4" customWidth="1" width="11.777344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3.5546875" style="1"/>
    <col min="13" max="13" customWidth="1" width="8.886719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 t="s">
        <v>17</v>
      </c>
      <c r="H2" s="4"/>
      <c r="I2" s="4"/>
      <c r="J2" s="4"/>
      <c r="K2" s="5"/>
    </row>
    <row r="3" spans="8:8" ht="25.8" customHeight="1">
      <c r="B3" s="6" t="s">
        <v>15</v>
      </c>
      <c r="C3" s="52"/>
      <c r="D3" s="52"/>
      <c r="E3" s="52"/>
      <c r="F3" s="52"/>
      <c r="G3" s="52" t="s">
        <v>16</v>
      </c>
      <c r="H3" s="8"/>
      <c r="I3" s="8"/>
      <c r="J3" s="8"/>
      <c r="K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8:8" ht="31.2" customHeight="1">
      <c r="B5" s="13" t="s">
        <v>127</v>
      </c>
      <c r="C5" s="14"/>
      <c r="D5" s="14"/>
      <c r="E5" s="14"/>
      <c r="F5" s="14"/>
      <c r="G5" s="14"/>
      <c r="H5" s="14"/>
      <c r="I5" s="14"/>
      <c r="J5" s="14"/>
      <c r="K5" s="15"/>
    </row>
    <row r="6" spans="8:8" ht="23.4" customHeight="1">
      <c r="B6" s="16" t="s">
        <v>0</v>
      </c>
      <c r="C6" s="17" t="s">
        <v>1</v>
      </c>
      <c r="D6" s="17" t="s">
        <v>2</v>
      </c>
      <c r="E6" s="18" t="s">
        <v>3</v>
      </c>
      <c r="F6" s="19" t="s">
        <v>10</v>
      </c>
      <c r="G6" s="20"/>
      <c r="H6" s="21"/>
      <c r="I6" s="19" t="s">
        <v>11</v>
      </c>
      <c r="J6" s="20"/>
      <c r="K6" s="21"/>
    </row>
    <row r="7" spans="8:8" ht="27.6" customHeight="1">
      <c r="B7" s="22"/>
      <c r="C7" s="29"/>
      <c r="D7" s="23"/>
      <c r="E7" s="24"/>
      <c r="F7" s="25" t="s">
        <v>4</v>
      </c>
      <c r="G7" s="26" t="s">
        <v>5</v>
      </c>
      <c r="H7" s="27" t="s">
        <v>6</v>
      </c>
      <c r="I7" s="25" t="s">
        <v>7</v>
      </c>
      <c r="J7" s="26" t="s">
        <v>8</v>
      </c>
      <c r="K7" s="27" t="s">
        <v>9</v>
      </c>
    </row>
    <row r="8" spans="8:8" ht="29.4" customHeight="1">
      <c r="B8" s="28"/>
      <c r="C8" s="59" t="s">
        <v>119</v>
      </c>
      <c r="D8" s="56"/>
      <c r="E8" s="55">
        <v>1.0</v>
      </c>
      <c r="F8" s="55">
        <v>25.54</v>
      </c>
      <c r="G8" s="55"/>
      <c r="H8" s="56"/>
      <c r="I8" s="55"/>
      <c r="J8" s="56">
        <f>F8*E8</f>
        <v>25.54</v>
      </c>
      <c r="K8" s="66">
        <f>J8+I8</f>
        <v>25.54</v>
      </c>
    </row>
    <row r="9" spans="8:8" ht="29.4" customHeight="1">
      <c r="B9" s="28"/>
      <c r="C9" s="61"/>
      <c r="D9" s="55"/>
      <c r="E9" s="55">
        <v>1.0</v>
      </c>
      <c r="F9" s="55">
        <v>22.2</v>
      </c>
      <c r="G9" s="55"/>
      <c r="H9" s="55"/>
      <c r="I9" s="55"/>
      <c r="J9" s="56">
        <f>F9*E9</f>
        <v>22.2</v>
      </c>
      <c r="K9" s="66">
        <f t="shared" si="0" ref="K9:K14">J9+I9</f>
        <v>22.2</v>
      </c>
    </row>
    <row r="10" spans="8:8" ht="29.4" customHeight="1">
      <c r="B10" s="28"/>
      <c r="C10" s="34" t="s">
        <v>102</v>
      </c>
      <c r="D10" s="34"/>
      <c r="E10" s="34">
        <v>1.0</v>
      </c>
      <c r="F10" s="34">
        <v>1.77</v>
      </c>
      <c r="G10" s="34"/>
      <c r="H10" s="34"/>
      <c r="I10" s="34">
        <f>-F10*E10</f>
        <v>-1.77</v>
      </c>
      <c r="J10" s="34"/>
      <c r="K10" s="67">
        <f t="shared" si="0"/>
        <v>-1.77</v>
      </c>
    </row>
    <row r="11" spans="8:8" ht="29.4" customHeight="1">
      <c r="B11" s="28"/>
      <c r="C11" s="34" t="s">
        <v>102</v>
      </c>
      <c r="D11" s="34"/>
      <c r="E11" s="34">
        <v>1.0</v>
      </c>
      <c r="F11" s="34">
        <v>1.77</v>
      </c>
      <c r="G11" s="34"/>
      <c r="H11" s="34"/>
      <c r="I11" s="34">
        <f t="shared" si="1" ref="I11">-F11*E11</f>
        <v>-1.77</v>
      </c>
      <c r="J11" s="34"/>
      <c r="K11" s="67">
        <f t="shared" si="0"/>
        <v>-1.77</v>
      </c>
    </row>
    <row r="12" spans="8:8" ht="29.4" customHeight="1">
      <c r="B12" s="28"/>
      <c r="C12" s="55" t="s">
        <v>120</v>
      </c>
      <c r="D12" s="56"/>
      <c r="E12" s="55">
        <v>1.0</v>
      </c>
      <c r="F12" s="55">
        <v>12.98</v>
      </c>
      <c r="G12" s="55"/>
      <c r="H12" s="55"/>
      <c r="I12" s="55"/>
      <c r="J12" s="56">
        <f>F12*E12</f>
        <v>12.98</v>
      </c>
      <c r="K12" s="66">
        <f t="shared" si="0"/>
        <v>12.98</v>
      </c>
    </row>
    <row r="13" spans="8:8" ht="29.4" customHeight="1">
      <c r="B13" s="28"/>
      <c r="C13" s="55" t="s">
        <v>121</v>
      </c>
      <c r="D13" s="56"/>
      <c r="E13" s="55">
        <v>1.0</v>
      </c>
      <c r="F13" s="55">
        <v>11.6</v>
      </c>
      <c r="G13" s="55"/>
      <c r="H13" s="55"/>
      <c r="I13" s="55"/>
      <c r="J13" s="56">
        <f>F13*E13</f>
        <v>11.6</v>
      </c>
      <c r="K13" s="66">
        <f t="shared" si="0"/>
        <v>11.6</v>
      </c>
    </row>
    <row r="14" spans="8:8" ht="29.4" customHeight="1">
      <c r="B14" s="28"/>
      <c r="C14" s="55" t="s">
        <v>122</v>
      </c>
      <c r="D14" s="56"/>
      <c r="E14" s="55">
        <v>1.0</v>
      </c>
      <c r="F14" s="55">
        <v>21.64</v>
      </c>
      <c r="G14" s="55"/>
      <c r="H14" s="55"/>
      <c r="I14" s="55"/>
      <c r="J14" s="56">
        <f>F14*E16</f>
        <v>21.64</v>
      </c>
      <c r="K14" s="66">
        <f t="shared" si="0"/>
        <v>21.64</v>
      </c>
    </row>
    <row r="15" spans="8:8" ht="29.4" customHeight="1">
      <c r="B15" s="55"/>
      <c r="C15" s="55" t="s">
        <v>123</v>
      </c>
      <c r="D15" s="55"/>
      <c r="E15" s="55">
        <v>1.0</v>
      </c>
      <c r="F15" s="55">
        <v>11.9</v>
      </c>
      <c r="G15" s="55"/>
      <c r="H15" s="55"/>
      <c r="I15" s="55"/>
      <c r="J15" s="56">
        <f t="shared" si="2" ref="J15:J18">F15*E17</f>
        <v>11.9</v>
      </c>
      <c r="K15" s="66">
        <f t="shared" si="3" ref="K15:K18">J15+I15</f>
        <v>11.9</v>
      </c>
    </row>
    <row r="16" spans="8:8" ht="29.4" customHeight="1">
      <c r="B16" s="55"/>
      <c r="C16" s="55" t="s">
        <v>124</v>
      </c>
      <c r="D16" s="55"/>
      <c r="E16" s="55">
        <v>1.0</v>
      </c>
      <c r="F16" s="55">
        <v>7.1</v>
      </c>
      <c r="G16" s="55"/>
      <c r="H16" s="55"/>
      <c r="I16" s="55"/>
      <c r="J16" s="56">
        <f>F16*E16</f>
        <v>7.1</v>
      </c>
      <c r="K16" s="66">
        <f t="shared" si="3"/>
        <v>7.1</v>
      </c>
    </row>
    <row r="17" spans="8:8" ht="29.4" customHeight="1">
      <c r="B17" s="55"/>
      <c r="C17" s="55" t="s">
        <v>125</v>
      </c>
      <c r="D17" s="55"/>
      <c r="E17" s="55">
        <v>1.0</v>
      </c>
      <c r="F17" s="55">
        <v>7.8</v>
      </c>
      <c r="G17" s="55"/>
      <c r="H17" s="55"/>
      <c r="I17" s="55"/>
      <c r="J17" s="56">
        <f t="shared" si="4" ref="J17:J18">F17*E17</f>
        <v>7.8</v>
      </c>
      <c r="K17" s="66">
        <f t="shared" si="3"/>
        <v>7.8</v>
      </c>
    </row>
    <row r="18" spans="8:8" ht="29.4" customHeight="1">
      <c r="B18" s="55"/>
      <c r="C18" s="55" t="s">
        <v>126</v>
      </c>
      <c r="D18" s="55"/>
      <c r="E18" s="55">
        <v>1.0</v>
      </c>
      <c r="F18" s="55">
        <v>7.3</v>
      </c>
      <c r="G18" s="55"/>
      <c r="H18" s="55"/>
      <c r="I18" s="55"/>
      <c r="J18" s="56">
        <f t="shared" si="4"/>
        <v>7.3</v>
      </c>
      <c r="K18" s="66">
        <f t="shared" si="3"/>
        <v>7.3</v>
      </c>
    </row>
    <row r="19" spans="8:8" ht="29.4" customHeight="1">
      <c r="B19" s="68"/>
      <c r="C19" s="58"/>
      <c r="D19" s="58"/>
      <c r="E19" s="58"/>
      <c r="F19" s="58"/>
      <c r="G19" s="58"/>
      <c r="H19" s="58"/>
      <c r="I19" s="69">
        <f>SUM(K8:K18)</f>
        <v>124.51999999999998</v>
      </c>
      <c r="J19" s="70"/>
      <c r="K19" s="71"/>
    </row>
    <row r="20" spans="8:8" ht="29.4" customHeight="1"/>
    <row r="21" spans="8:8" ht="29.4" customHeight="1"/>
    <row r="22" spans="8:8" ht="29.4" customHeight="1"/>
    <row r="23" spans="8:8" ht="29.4" customHeight="1"/>
    <row r="24" spans="8:8" ht="29.4" customHeight="1"/>
    <row r="25" spans="8:8" ht="29.4" customHeight="1"/>
  </sheetData>
  <mergeCells count="12">
    <mergeCell ref="C8:C9"/>
    <mergeCell ref="B19:H19"/>
    <mergeCell ref="I19:K19"/>
    <mergeCell ref="H2:K2"/>
    <mergeCell ref="C6:C7"/>
    <mergeCell ref="B5:K5"/>
    <mergeCell ref="B6:B7"/>
    <mergeCell ref="H3:K3"/>
    <mergeCell ref="D6:D7"/>
    <mergeCell ref="E6:E7"/>
    <mergeCell ref="F6:H6"/>
    <mergeCell ref="I6:K6"/>
  </mergeCells>
  <printOptions horizontalCentered="1"/>
  <pageMargins left="0.7" right="0.7" top="0.75" bottom="0.75" header="0.3" footer="0.3"/>
  <pageSetup paperSize="9" scale="38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B1:L21"/>
  <sheetViews>
    <sheetView workbookViewId="0" topLeftCell="A4" zoomScale="85">
      <selection activeCell="E8" sqref="E8:E13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31.0" style="1"/>
    <col min="4" max="4" customWidth="1" width="11.777344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3.5546875" style="1"/>
    <col min="13" max="13" customWidth="1" width="8.886719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 t="s">
        <v>17</v>
      </c>
      <c r="H2" s="4"/>
      <c r="I2" s="4"/>
      <c r="J2" s="4"/>
      <c r="K2" s="5"/>
    </row>
    <row r="3" spans="8:8" ht="25.8" customHeight="1">
      <c r="B3" s="6" t="s">
        <v>15</v>
      </c>
      <c r="C3" s="52"/>
      <c r="D3" s="52"/>
      <c r="E3" s="52"/>
      <c r="F3" s="52"/>
      <c r="G3" s="52" t="s">
        <v>16</v>
      </c>
      <c r="H3" s="8"/>
      <c r="I3" s="8"/>
      <c r="J3" s="8"/>
      <c r="K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8:8" ht="31.2" customHeight="1">
      <c r="B5" s="13" t="s">
        <v>128</v>
      </c>
      <c r="C5" s="14"/>
      <c r="D5" s="14"/>
      <c r="E5" s="14"/>
      <c r="F5" s="14"/>
      <c r="G5" s="14"/>
      <c r="H5" s="14"/>
      <c r="I5" s="14"/>
      <c r="J5" s="14"/>
      <c r="K5" s="15"/>
    </row>
    <row r="6" spans="8:8" ht="23.4" customHeight="1">
      <c r="B6" s="16" t="s">
        <v>0</v>
      </c>
      <c r="C6" s="17" t="s">
        <v>1</v>
      </c>
      <c r="D6" s="17" t="s">
        <v>2</v>
      </c>
      <c r="E6" s="18" t="s">
        <v>3</v>
      </c>
      <c r="F6" s="19" t="s">
        <v>10</v>
      </c>
      <c r="G6" s="20"/>
      <c r="H6" s="21"/>
      <c r="I6" s="19" t="s">
        <v>11</v>
      </c>
      <c r="J6" s="20"/>
      <c r="K6" s="21"/>
    </row>
    <row r="7" spans="8:8" ht="27.6" customHeight="1">
      <c r="B7" s="22"/>
      <c r="C7" s="29"/>
      <c r="D7" s="23"/>
      <c r="E7" s="24"/>
      <c r="F7" s="25" t="s">
        <v>4</v>
      </c>
      <c r="G7" s="26" t="s">
        <v>5</v>
      </c>
      <c r="H7" s="27" t="s">
        <v>6</v>
      </c>
      <c r="I7" s="25" t="s">
        <v>7</v>
      </c>
      <c r="J7" s="26" t="s">
        <v>8</v>
      </c>
      <c r="K7" s="27" t="s">
        <v>9</v>
      </c>
    </row>
    <row r="8" spans="8:8" ht="29.4" customHeight="1">
      <c r="B8" s="28"/>
      <c r="C8" s="55" t="s">
        <v>129</v>
      </c>
      <c r="D8" s="56"/>
      <c r="E8" s="55">
        <v>1.0</v>
      </c>
      <c r="F8" s="55"/>
      <c r="G8" s="55"/>
      <c r="H8" s="55"/>
      <c r="I8" s="55"/>
      <c r="J8" s="56"/>
      <c r="K8" s="66">
        <f>E8</f>
        <v>1.0</v>
      </c>
    </row>
    <row r="9" spans="8:8" ht="29.4" customHeight="1">
      <c r="B9" s="28"/>
      <c r="C9" s="55" t="s">
        <v>24</v>
      </c>
      <c r="D9" s="56"/>
      <c r="E9" s="55">
        <v>3.0</v>
      </c>
      <c r="F9" s="55"/>
      <c r="G9" s="55"/>
      <c r="H9" s="55"/>
      <c r="I9" s="55"/>
      <c r="J9" s="56"/>
      <c r="K9" s="66">
        <f t="shared" si="0" ref="K9:K14">E9</f>
        <v>3.0</v>
      </c>
    </row>
    <row r="10" spans="8:8" ht="29.4" customHeight="1">
      <c r="B10" s="28"/>
      <c r="C10" s="55" t="s">
        <v>35</v>
      </c>
      <c r="D10" s="56"/>
      <c r="E10" s="55">
        <v>4.0</v>
      </c>
      <c r="F10" s="55"/>
      <c r="G10" s="55"/>
      <c r="H10" s="55"/>
      <c r="I10" s="55"/>
      <c r="J10" s="56"/>
      <c r="K10" s="66">
        <f t="shared" si="0"/>
        <v>4.0</v>
      </c>
    </row>
    <row r="11" spans="8:8" ht="29.4" customHeight="1">
      <c r="B11" s="55"/>
      <c r="C11" s="55" t="s">
        <v>32</v>
      </c>
      <c r="D11" s="55"/>
      <c r="E11" s="55">
        <v>1.0</v>
      </c>
      <c r="F11" s="55"/>
      <c r="G11" s="55"/>
      <c r="H11" s="55"/>
      <c r="I11" s="55"/>
      <c r="J11" s="55"/>
      <c r="K11" s="66">
        <f t="shared" si="0"/>
        <v>1.0</v>
      </c>
    </row>
    <row r="12" spans="8:8" ht="29.4" customHeight="1">
      <c r="B12" s="55"/>
      <c r="C12" s="55" t="s">
        <v>130</v>
      </c>
      <c r="D12" s="55"/>
      <c r="E12" s="55">
        <v>0.0</v>
      </c>
      <c r="F12" s="55"/>
      <c r="G12" s="55"/>
      <c r="H12" s="55"/>
      <c r="I12" s="55"/>
      <c r="J12" s="56"/>
      <c r="K12" s="66">
        <f t="shared" si="0"/>
        <v>0.0</v>
      </c>
    </row>
    <row r="13" spans="8:8" ht="29.4" customHeight="1">
      <c r="B13" s="55"/>
      <c r="C13" s="55" t="s">
        <v>131</v>
      </c>
      <c r="D13" s="55"/>
      <c r="E13" s="55">
        <v>5.0</v>
      </c>
      <c r="F13" s="55"/>
      <c r="G13" s="55"/>
      <c r="H13" s="55"/>
      <c r="I13" s="55"/>
      <c r="J13" s="56"/>
      <c r="K13" s="66">
        <f t="shared" si="0"/>
        <v>5.0</v>
      </c>
    </row>
    <row r="14" spans="8:8" ht="29.4" customHeight="1">
      <c r="B14" s="55"/>
      <c r="C14" s="55" t="s">
        <v>132</v>
      </c>
      <c r="D14" s="55"/>
      <c r="E14" s="55">
        <v>3.0</v>
      </c>
      <c r="F14" s="55"/>
      <c r="G14" s="55"/>
      <c r="H14" s="55"/>
      <c r="I14" s="55"/>
      <c r="J14" s="56"/>
      <c r="K14" s="66">
        <f t="shared" si="0"/>
        <v>3.0</v>
      </c>
    </row>
    <row r="15" spans="8:8" ht="29.4" customHeight="1">
      <c r="B15" s="68"/>
      <c r="C15" s="58"/>
      <c r="D15" s="58"/>
      <c r="E15" s="58"/>
      <c r="F15" s="58"/>
      <c r="G15" s="58"/>
      <c r="H15" s="58"/>
      <c r="I15" s="69">
        <f>SUM(K8:K14)</f>
        <v>17.0</v>
      </c>
      <c r="J15" s="70"/>
      <c r="K15" s="71"/>
    </row>
    <row r="16" spans="8:8" ht="29.4" customHeight="1"/>
    <row r="17" spans="8:8" ht="29.4" customHeight="1"/>
    <row r="18" spans="8:8" ht="29.4" customHeight="1"/>
    <row r="19" spans="8:8" ht="29.4" customHeight="1"/>
    <row r="20" spans="8:8" ht="29.4" customHeight="1"/>
    <row r="21" spans="8:8" ht="29.4" customHeight="1"/>
  </sheetData>
  <mergeCells count="11">
    <mergeCell ref="B15:H15"/>
    <mergeCell ref="I15:K15"/>
    <mergeCell ref="H2:K2"/>
    <mergeCell ref="C6:C7"/>
    <mergeCell ref="B5:K5"/>
    <mergeCell ref="B6:B7"/>
    <mergeCell ref="H3:K3"/>
    <mergeCell ref="D6:D7"/>
    <mergeCell ref="E6:E7"/>
    <mergeCell ref="F6:H6"/>
    <mergeCell ref="I6:K6"/>
  </mergeCells>
  <printOptions horizontalCentered="1"/>
  <pageMargins left="0.7" right="0.7" top="0.75" bottom="0.75" header="0.3" footer="0.3"/>
  <pageSetup paperSize="9" scale="38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B1:L21"/>
  <sheetViews>
    <sheetView workbookViewId="0" zoomScale="85">
      <selection activeCell="C13" sqref="C13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31.0" style="1"/>
    <col min="4" max="4" customWidth="1" width="11.777344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3.5546875" style="1"/>
    <col min="13" max="13" customWidth="1" width="8.886719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 t="s">
        <v>17</v>
      </c>
      <c r="H2" s="4"/>
      <c r="I2" s="4"/>
      <c r="J2" s="4"/>
      <c r="K2" s="5"/>
    </row>
    <row r="3" spans="8:8" ht="25.8" customHeight="1">
      <c r="B3" s="6" t="s">
        <v>15</v>
      </c>
      <c r="C3" s="52"/>
      <c r="D3" s="52"/>
      <c r="E3" s="52"/>
      <c r="F3" s="52"/>
      <c r="G3" s="52" t="s">
        <v>16</v>
      </c>
      <c r="H3" s="8"/>
      <c r="I3" s="8"/>
      <c r="J3" s="8"/>
      <c r="K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8:8" ht="31.2" customHeight="1">
      <c r="B5" s="13" t="s">
        <v>128</v>
      </c>
      <c r="C5" s="14"/>
      <c r="D5" s="14"/>
      <c r="E5" s="14"/>
      <c r="F5" s="14"/>
      <c r="G5" s="14"/>
      <c r="H5" s="14"/>
      <c r="I5" s="14"/>
      <c r="J5" s="14"/>
      <c r="K5" s="15"/>
    </row>
    <row r="6" spans="8:8" ht="23.4" customHeight="1">
      <c r="B6" s="16" t="s">
        <v>0</v>
      </c>
      <c r="C6" s="17" t="s">
        <v>1</v>
      </c>
      <c r="D6" s="17" t="s">
        <v>2</v>
      </c>
      <c r="E6" s="18" t="s">
        <v>3</v>
      </c>
      <c r="F6" s="19" t="s">
        <v>10</v>
      </c>
      <c r="G6" s="20"/>
      <c r="H6" s="21"/>
      <c r="I6" s="19" t="s">
        <v>11</v>
      </c>
      <c r="J6" s="20"/>
      <c r="K6" s="21"/>
    </row>
    <row r="7" spans="8:8" ht="27.6" customHeight="1">
      <c r="B7" s="22"/>
      <c r="C7" s="29"/>
      <c r="D7" s="23"/>
      <c r="E7" s="24"/>
      <c r="F7" s="25" t="s">
        <v>4</v>
      </c>
      <c r="G7" s="26" t="s">
        <v>5</v>
      </c>
      <c r="H7" s="27" t="s">
        <v>6</v>
      </c>
      <c r="I7" s="25" t="s">
        <v>7</v>
      </c>
      <c r="J7" s="26" t="s">
        <v>8</v>
      </c>
      <c r="K7" s="27" t="s">
        <v>9</v>
      </c>
    </row>
    <row r="8" spans="8:8" ht="29.4" customHeight="1">
      <c r="B8" s="28"/>
      <c r="C8" s="55" t="s">
        <v>129</v>
      </c>
      <c r="D8" s="56"/>
      <c r="E8" s="55">
        <v>1.0</v>
      </c>
      <c r="F8" s="55"/>
      <c r="G8" s="55">
        <v>1.0</v>
      </c>
      <c r="H8" s="55">
        <v>2.2</v>
      </c>
      <c r="I8" s="55"/>
      <c r="J8" s="56"/>
      <c r="K8" s="66">
        <f>H8*G8*E8</f>
        <v>2.2</v>
      </c>
    </row>
    <row r="9" spans="8:8" ht="29.4" customHeight="1">
      <c r="B9" s="28"/>
      <c r="C9" s="55" t="s">
        <v>24</v>
      </c>
      <c r="D9" s="56"/>
      <c r="E9" s="55">
        <v>3.0</v>
      </c>
      <c r="F9" s="55"/>
      <c r="G9" s="55">
        <v>0.9</v>
      </c>
      <c r="H9" s="55">
        <v>2.2</v>
      </c>
      <c r="I9" s="55"/>
      <c r="J9" s="56"/>
      <c r="K9" s="66">
        <f t="shared" si="0" ref="K9:K14">H9*G9*E9</f>
        <v>5.94</v>
      </c>
    </row>
    <row r="10" spans="8:8" ht="29.4" customHeight="1">
      <c r="B10" s="28"/>
      <c r="C10" s="55" t="s">
        <v>35</v>
      </c>
      <c r="D10" s="56"/>
      <c r="E10" s="55">
        <v>4.0</v>
      </c>
      <c r="F10" s="55"/>
      <c r="G10" s="55">
        <v>0.8</v>
      </c>
      <c r="H10" s="55">
        <v>2.2</v>
      </c>
      <c r="I10" s="55"/>
      <c r="J10" s="56"/>
      <c r="K10" s="66">
        <f t="shared" si="0"/>
        <v>7.040000000000001</v>
      </c>
    </row>
    <row r="11" spans="8:8" ht="29.4" customHeight="1">
      <c r="B11" s="55"/>
      <c r="C11" s="55" t="s">
        <v>32</v>
      </c>
      <c r="D11" s="55"/>
      <c r="E11" s="55">
        <v>1.0</v>
      </c>
      <c r="F11" s="55"/>
      <c r="G11" s="55">
        <v>1.5</v>
      </c>
      <c r="H11" s="55">
        <v>2.2</v>
      </c>
      <c r="I11" s="55"/>
      <c r="J11" s="55"/>
      <c r="K11" s="66">
        <f t="shared" si="0"/>
        <v>3.3000000000000003</v>
      </c>
    </row>
    <row r="12" spans="8:8" ht="29.4" customHeight="1">
      <c r="B12" s="55"/>
      <c r="C12" s="55" t="s">
        <v>130</v>
      </c>
      <c r="D12" s="55"/>
      <c r="E12" s="55">
        <v>0.0</v>
      </c>
      <c r="F12" s="55"/>
      <c r="G12" s="55">
        <v>1.5</v>
      </c>
      <c r="H12" s="55">
        <v>1.8</v>
      </c>
      <c r="I12" s="55"/>
      <c r="J12" s="56"/>
      <c r="K12" s="66">
        <f t="shared" si="0"/>
        <v>0.0</v>
      </c>
    </row>
    <row r="13" spans="8:8" ht="29.4" customHeight="1">
      <c r="B13" s="55"/>
      <c r="C13" s="55" t="s">
        <v>131</v>
      </c>
      <c r="D13" s="55"/>
      <c r="E13" s="55">
        <v>5.0</v>
      </c>
      <c r="F13" s="55"/>
      <c r="G13" s="55">
        <v>1.2</v>
      </c>
      <c r="H13" s="55">
        <v>1.2</v>
      </c>
      <c r="I13" s="55"/>
      <c r="J13" s="56"/>
      <c r="K13" s="66">
        <f t="shared" si="0"/>
        <v>7.199999999999999</v>
      </c>
    </row>
    <row r="14" spans="8:8" ht="29.4" customHeight="1">
      <c r="B14" s="55"/>
      <c r="C14" s="55" t="s">
        <v>132</v>
      </c>
      <c r="D14" s="55"/>
      <c r="E14" s="55">
        <v>3.0</v>
      </c>
      <c r="F14" s="55"/>
      <c r="G14" s="55">
        <v>0.8</v>
      </c>
      <c r="H14" s="55">
        <v>0.8</v>
      </c>
      <c r="I14" s="55"/>
      <c r="J14" s="56"/>
      <c r="K14" s="66">
        <f t="shared" si="0"/>
        <v>1.9200000000000004</v>
      </c>
    </row>
    <row r="15" spans="8:8" ht="29.4" customHeight="1">
      <c r="B15" s="68"/>
      <c r="C15" s="58"/>
      <c r="D15" s="58"/>
      <c r="E15" s="58"/>
      <c r="F15" s="58"/>
      <c r="G15" s="58"/>
      <c r="H15" s="58"/>
      <c r="I15" s="69">
        <f>SUM(K8:K14)</f>
        <v>27.6</v>
      </c>
      <c r="J15" s="70"/>
      <c r="K15" s="71"/>
    </row>
    <row r="16" spans="8:8" ht="29.4" customHeight="1"/>
    <row r="17" spans="8:8" ht="29.4" customHeight="1"/>
    <row r="18" spans="8:8" ht="29.4" customHeight="1"/>
    <row r="19" spans="8:8" ht="29.4" customHeight="1"/>
    <row r="20" spans="8:8" ht="29.4" customHeight="1"/>
    <row r="21" spans="8:8" ht="29.4" customHeight="1"/>
  </sheetData>
  <mergeCells count="11">
    <mergeCell ref="B15:H15"/>
    <mergeCell ref="I15:K15"/>
    <mergeCell ref="H2:K2"/>
    <mergeCell ref="C6:C7"/>
    <mergeCell ref="B5:K5"/>
    <mergeCell ref="B6:B7"/>
    <mergeCell ref="H3:K3"/>
    <mergeCell ref="D6:D7"/>
    <mergeCell ref="E6:E7"/>
    <mergeCell ref="F6:H6"/>
    <mergeCell ref="I6:K6"/>
  </mergeCells>
  <printOptions horizontalCentered="1"/>
  <pageMargins left="0.7" right="0.7" top="0.75" bottom="0.75" header="0.3" footer="0.3"/>
  <pageSetup paperSize="9" scale="38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B1:L17"/>
  <sheetViews>
    <sheetView tabSelected="1" workbookViewId="0" topLeftCell="A4" zoomScale="85">
      <selection activeCell="C17" sqref="C17"/>
    </sheetView>
  </sheetViews>
  <sheetFormatPr defaultRowHeight="14.4" defaultColWidth="10"/>
  <cols>
    <col min="1" max="1" customWidth="1" width="2.5546875" style="1"/>
    <col min="2" max="2" customWidth="1" width="8.441406" style="1"/>
    <col min="3" max="3" customWidth="1" width="31.0" style="1"/>
    <col min="4" max="4" customWidth="1" width="11.777344" style="1"/>
    <col min="5" max="5" customWidth="1" width="11.777344" style="1"/>
    <col min="6" max="6" customWidth="1" width="11.777344" style="1"/>
    <col min="7" max="7" customWidth="1" width="11.777344" style="1"/>
    <col min="8" max="8" customWidth="1" width="11.777344" style="1"/>
    <col min="9" max="9" customWidth="1" width="11.777344" style="1"/>
    <col min="10" max="10" customWidth="1" width="11.777344" style="1"/>
    <col min="11" max="11" customWidth="1" width="11.777344" style="1"/>
    <col min="12" max="12" customWidth="1" width="3.5546875" style="1"/>
    <col min="13" max="13" customWidth="1" width="8.886719" style="1"/>
    <col min="14" max="14" customWidth="1" width="8.886719" style="1"/>
    <col min="15" max="15" customWidth="1" width="8.886719" style="1"/>
    <col min="16" max="16" customWidth="1" width="8.886719" style="1"/>
    <col min="17" max="17" customWidth="1" width="8.886719" style="1"/>
    <col min="18" max="18" customWidth="1" width="8.886719" style="1"/>
    <col min="19" max="19" customWidth="1" width="8.886719" style="1"/>
    <col min="20" max="20" customWidth="1" width="8.886719" style="1"/>
    <col min="21" max="21" customWidth="1" width="8.886719" style="1"/>
    <col min="22" max="22" customWidth="1" width="8.886719" style="1"/>
    <col min="23" max="23" customWidth="1" width="8.886719" style="1"/>
    <col min="24" max="24" customWidth="1" width="8.886719" style="1"/>
    <col min="25" max="25" customWidth="1" width="8.886719" style="1"/>
    <col min="26" max="26" customWidth="1" width="8.886719" style="1"/>
    <col min="27" max="27" customWidth="1" width="8.886719" style="1"/>
    <col min="28" max="28" customWidth="1" width="8.886719" style="1"/>
    <col min="29" max="29" customWidth="1" width="8.886719" style="1"/>
    <col min="30" max="30" customWidth="1" width="8.886719" style="1"/>
    <col min="31" max="31" customWidth="1" width="8.886719" style="1"/>
    <col min="32" max="32" customWidth="1" width="8.886719" style="1"/>
    <col min="33" max="33" customWidth="1" width="8.886719" style="1"/>
    <col min="34" max="34" customWidth="1" width="8.886719" style="1"/>
    <col min="35" max="35" customWidth="1" width="8.886719" style="1"/>
    <col min="36" max="36" customWidth="1" width="8.886719" style="1"/>
    <col min="37" max="37" customWidth="1" width="8.886719" style="1"/>
    <col min="38" max="38" customWidth="1" width="8.886719" style="1"/>
    <col min="39" max="39" customWidth="1" width="8.886719" style="1"/>
    <col min="40" max="40" customWidth="1" width="8.886719" style="1"/>
    <col min="41" max="41" customWidth="1" width="8.886719" style="1"/>
    <col min="42" max="42" customWidth="1" width="8.886719" style="1"/>
    <col min="43" max="43" customWidth="1" width="8.886719" style="1"/>
    <col min="44" max="44" customWidth="1" width="8.886719" style="1"/>
    <col min="45" max="45" customWidth="1" width="8.886719" style="1"/>
    <col min="46" max="46" customWidth="1" width="8.886719" style="1"/>
    <col min="47" max="47" customWidth="1" width="8.886719" style="1"/>
    <col min="48" max="48" customWidth="1" width="8.886719" style="1"/>
    <col min="49" max="49" customWidth="1" width="8.886719" style="1"/>
    <col min="50" max="50" customWidth="1" width="8.886719" style="1"/>
    <col min="51" max="51" customWidth="1" width="8.886719" style="1"/>
    <col min="52" max="52" customWidth="1" width="8.886719" style="1"/>
    <col min="53" max="53" customWidth="1" width="8.886719" style="1"/>
    <col min="54" max="54" customWidth="1" width="8.886719" style="1"/>
    <col min="55" max="55" customWidth="1" width="8.886719" style="1"/>
    <col min="56" max="56" customWidth="1" width="8.886719" style="1"/>
    <col min="57" max="57" customWidth="1" width="8.886719" style="1"/>
    <col min="58" max="58" customWidth="1" width="8.886719" style="1"/>
    <col min="59" max="59" customWidth="1" width="8.886719" style="1"/>
    <col min="60" max="60" customWidth="1" width="8.886719" style="1"/>
    <col min="61" max="61" customWidth="1" width="8.886719" style="1"/>
    <col min="62" max="62" customWidth="1" width="8.886719" style="1"/>
    <col min="63" max="63" customWidth="1" width="8.886719" style="1"/>
    <col min="64" max="64" customWidth="1" width="8.886719" style="1"/>
    <col min="65" max="65" customWidth="1" width="8.886719" style="1"/>
    <col min="66" max="66" customWidth="1" width="8.886719" style="1"/>
    <col min="67" max="67" customWidth="1" width="8.886719" style="1"/>
    <col min="68" max="68" customWidth="1" width="8.886719" style="1"/>
    <col min="69" max="69" customWidth="1" width="8.886719" style="1"/>
    <col min="70" max="70" customWidth="1" width="8.886719" style="1"/>
    <col min="71" max="71" customWidth="1" width="8.886719" style="1"/>
    <col min="72" max="72" customWidth="1" width="8.886719" style="1"/>
    <col min="73" max="73" customWidth="1" width="8.886719" style="1"/>
    <col min="74" max="74" customWidth="1" width="8.886719" style="1"/>
    <col min="75" max="75" customWidth="1" width="8.886719" style="1"/>
    <col min="76" max="76" customWidth="1" width="8.886719" style="1"/>
    <col min="77" max="77" customWidth="1" width="8.886719" style="1"/>
    <col min="78" max="78" customWidth="1" width="8.886719" style="1"/>
    <col min="79" max="79" customWidth="1" width="8.886719" style="1"/>
    <col min="80" max="80" customWidth="1" width="8.886719" style="1"/>
    <col min="81" max="81" customWidth="1" width="8.886719" style="1"/>
    <col min="82" max="82" customWidth="1" width="8.886719" style="1"/>
    <col min="83" max="83" customWidth="1" width="8.886719" style="1"/>
    <col min="84" max="84" customWidth="1" width="8.886719" style="1"/>
    <col min="85" max="85" customWidth="1" width="8.886719" style="1"/>
    <col min="86" max="86" customWidth="1" width="8.886719" style="1"/>
    <col min="87" max="87" customWidth="1" width="8.886719" style="1"/>
    <col min="88" max="88" customWidth="1" width="8.886719" style="1"/>
    <col min="89" max="89" customWidth="1" width="8.886719" style="1"/>
    <col min="90" max="90" customWidth="1" width="8.886719" style="1"/>
    <col min="91" max="91" customWidth="1" width="8.886719" style="1"/>
    <col min="92" max="92" customWidth="1" width="8.886719" style="1"/>
    <col min="93" max="93" customWidth="1" width="8.886719" style="1"/>
    <col min="94" max="94" customWidth="1" width="8.886719" style="1"/>
    <col min="95" max="95" customWidth="1" width="8.886719" style="1"/>
    <col min="96" max="96" customWidth="1" width="8.886719" style="1"/>
    <col min="97" max="97" customWidth="1" width="8.886719" style="1"/>
    <col min="98" max="98" customWidth="1" width="8.886719" style="1"/>
    <col min="99" max="99" customWidth="1" width="8.886719" style="1"/>
    <col min="100" max="100" customWidth="1" width="8.886719" style="1"/>
    <col min="101" max="101" customWidth="1" width="8.886719" style="1"/>
    <col min="102" max="102" customWidth="1" width="8.886719" style="1"/>
    <col min="103" max="103" customWidth="1" width="8.886719" style="1"/>
    <col min="104" max="104" customWidth="1" width="8.886719" style="1"/>
    <col min="105" max="105" customWidth="1" width="8.886719" style="1"/>
    <col min="106" max="106" customWidth="1" width="8.886719" style="1"/>
    <col min="107" max="107" customWidth="1" width="8.886719" style="1"/>
    <col min="108" max="108" customWidth="1" width="8.886719" style="1"/>
    <col min="109" max="109" customWidth="1" width="8.886719" style="1"/>
    <col min="110" max="110" customWidth="1" width="8.886719" style="1"/>
    <col min="111" max="111" customWidth="1" width="8.886719" style="1"/>
    <col min="112" max="112" customWidth="1" width="8.886719" style="1"/>
    <col min="113" max="113" customWidth="1" width="8.886719" style="1"/>
    <col min="114" max="114" customWidth="1" width="8.886719" style="1"/>
    <col min="115" max="115" customWidth="1" width="8.886719" style="1"/>
    <col min="116" max="116" customWidth="1" width="8.886719" style="1"/>
    <col min="117" max="117" customWidth="1" width="8.886719" style="1"/>
    <col min="118" max="118" customWidth="1" width="8.886719" style="1"/>
    <col min="119" max="119" customWidth="1" width="8.886719" style="1"/>
    <col min="120" max="120" customWidth="1" width="8.886719" style="1"/>
    <col min="121" max="121" customWidth="1" width="8.886719" style="1"/>
    <col min="122" max="122" customWidth="1" width="8.886719" style="1"/>
    <col min="123" max="123" customWidth="1" width="8.886719" style="1"/>
    <col min="124" max="124" customWidth="1" width="8.886719" style="1"/>
    <col min="125" max="125" customWidth="1" width="8.886719" style="1"/>
    <col min="126" max="126" customWidth="1" width="8.886719" style="1"/>
    <col min="127" max="127" customWidth="1" width="8.886719" style="1"/>
    <col min="128" max="128" customWidth="1" width="8.886719" style="1"/>
    <col min="129" max="129" customWidth="1" width="8.886719" style="1"/>
    <col min="130" max="130" customWidth="1" width="8.886719" style="1"/>
    <col min="131" max="131" customWidth="1" width="8.886719" style="1"/>
    <col min="132" max="132" customWidth="1" width="8.886719" style="1"/>
    <col min="133" max="133" customWidth="1" width="8.886719" style="1"/>
    <col min="134" max="134" customWidth="1" width="8.886719" style="1"/>
    <col min="135" max="135" customWidth="1" width="8.886719" style="1"/>
    <col min="136" max="136" customWidth="1" width="8.886719" style="1"/>
    <col min="137" max="137" customWidth="1" width="8.886719" style="1"/>
    <col min="138" max="138" customWidth="1" width="8.886719" style="1"/>
    <col min="139" max="139" customWidth="1" width="8.886719" style="1"/>
    <col min="140" max="140" customWidth="1" width="8.886719" style="1"/>
    <col min="141" max="141" customWidth="1" width="8.886719" style="1"/>
    <col min="142" max="142" customWidth="1" width="8.886719" style="1"/>
    <col min="143" max="143" customWidth="1" width="8.886719" style="1"/>
    <col min="144" max="144" customWidth="1" width="8.886719" style="1"/>
    <col min="145" max="145" customWidth="1" width="8.886719" style="1"/>
    <col min="146" max="146" customWidth="1" width="8.886719" style="1"/>
    <col min="147" max="147" customWidth="1" width="8.886719" style="1"/>
    <col min="148" max="148" customWidth="1" width="8.886719" style="1"/>
    <col min="149" max="149" customWidth="1" width="8.886719" style="1"/>
    <col min="150" max="150" customWidth="1" width="8.886719" style="1"/>
    <col min="151" max="151" customWidth="1" width="8.886719" style="1"/>
    <col min="152" max="152" customWidth="1" width="8.886719" style="1"/>
    <col min="153" max="153" customWidth="1" width="8.886719" style="1"/>
    <col min="154" max="154" customWidth="1" width="8.886719" style="1"/>
    <col min="155" max="155" customWidth="1" width="8.886719" style="1"/>
    <col min="156" max="156" customWidth="1" width="8.886719" style="1"/>
    <col min="157" max="157" customWidth="1" width="8.886719" style="1"/>
    <col min="158" max="158" customWidth="1" width="8.886719" style="1"/>
    <col min="159" max="159" customWidth="1" width="8.886719" style="1"/>
    <col min="160" max="160" customWidth="1" width="8.886719" style="1"/>
    <col min="161" max="161" customWidth="1" width="8.886719" style="1"/>
    <col min="162" max="162" customWidth="1" width="8.886719" style="1"/>
    <col min="163" max="163" customWidth="1" width="8.886719" style="1"/>
    <col min="164" max="164" customWidth="1" width="8.886719" style="1"/>
    <col min="165" max="165" customWidth="1" width="8.886719" style="1"/>
    <col min="166" max="166" customWidth="1" width="8.886719" style="1"/>
    <col min="167" max="167" customWidth="1" width="8.886719" style="1"/>
    <col min="168" max="168" customWidth="1" width="8.886719" style="1"/>
    <col min="169" max="169" customWidth="1" width="8.886719" style="1"/>
    <col min="170" max="170" customWidth="1" width="8.886719" style="1"/>
    <col min="171" max="171" customWidth="1" width="8.886719" style="1"/>
    <col min="172" max="172" customWidth="1" width="8.886719" style="1"/>
    <col min="173" max="173" customWidth="1" width="8.886719" style="1"/>
    <col min="174" max="174" customWidth="1" width="8.886719" style="1"/>
    <col min="175" max="175" customWidth="1" width="8.886719" style="1"/>
    <col min="176" max="176" customWidth="1" width="8.886719" style="1"/>
    <col min="177" max="177" customWidth="1" width="8.886719" style="1"/>
    <col min="178" max="178" customWidth="1" width="8.886719" style="1"/>
    <col min="179" max="179" customWidth="1" width="8.886719" style="1"/>
    <col min="180" max="180" customWidth="1" width="8.886719" style="1"/>
    <col min="181" max="181" customWidth="1" width="8.886719" style="1"/>
    <col min="182" max="182" customWidth="1" width="8.886719" style="1"/>
    <col min="183" max="183" customWidth="1" width="8.886719" style="1"/>
    <col min="184" max="184" customWidth="1" width="8.886719" style="1"/>
    <col min="185" max="185" customWidth="1" width="8.886719" style="1"/>
    <col min="186" max="186" customWidth="1" width="8.886719" style="1"/>
    <col min="187" max="187" customWidth="1" width="8.886719" style="1"/>
    <col min="188" max="188" customWidth="1" width="8.886719" style="1"/>
    <col min="189" max="189" customWidth="1" width="8.886719" style="1"/>
    <col min="190" max="190" customWidth="1" width="8.886719" style="1"/>
    <col min="191" max="191" customWidth="1" width="8.886719" style="1"/>
    <col min="192" max="192" customWidth="1" width="8.886719" style="1"/>
    <col min="193" max="193" customWidth="1" width="8.886719" style="1"/>
    <col min="194" max="194" customWidth="1" width="8.886719" style="1"/>
    <col min="195" max="195" customWidth="1" width="8.886719" style="1"/>
    <col min="196" max="196" customWidth="1" width="8.886719" style="1"/>
    <col min="197" max="197" customWidth="1" width="8.886719" style="1"/>
    <col min="198" max="198" customWidth="1" width="8.886719" style="1"/>
    <col min="199" max="199" customWidth="1" width="8.886719" style="1"/>
    <col min="200" max="200" customWidth="1" width="8.886719" style="1"/>
    <col min="201" max="201" customWidth="1" width="8.886719" style="1"/>
    <col min="202" max="202" customWidth="1" width="8.886719" style="1"/>
    <col min="203" max="203" customWidth="1" width="8.886719" style="1"/>
    <col min="204" max="204" customWidth="1" width="8.886719" style="1"/>
    <col min="205" max="205" customWidth="1" width="8.886719" style="1"/>
    <col min="206" max="206" customWidth="1" width="8.886719" style="1"/>
    <col min="207" max="207" customWidth="1" width="8.886719" style="1"/>
    <col min="208" max="208" customWidth="1" width="8.886719" style="1"/>
    <col min="209" max="209" customWidth="1" width="8.886719" style="1"/>
    <col min="210" max="210" customWidth="1" width="8.886719" style="1"/>
    <col min="211" max="211" customWidth="1" width="8.886719" style="1"/>
    <col min="212" max="212" customWidth="1" width="8.886719" style="1"/>
    <col min="213" max="213" customWidth="1" width="8.886719" style="1"/>
    <col min="214" max="214" customWidth="1" width="8.886719" style="1"/>
    <col min="215" max="215" customWidth="1" width="8.886719" style="1"/>
    <col min="216" max="216" customWidth="1" width="8.886719" style="1"/>
    <col min="217" max="217" customWidth="1" width="8.886719" style="1"/>
    <col min="218" max="218" customWidth="1" width="8.886719" style="1"/>
    <col min="219" max="219" customWidth="1" width="8.886719" style="1"/>
    <col min="220" max="220" customWidth="1" width="8.886719" style="1"/>
    <col min="221" max="221" customWidth="1" width="8.886719" style="1"/>
    <col min="222" max="222" customWidth="1" width="8.886719" style="1"/>
    <col min="223" max="223" customWidth="1" width="8.886719" style="1"/>
    <col min="224" max="224" customWidth="1" width="8.886719" style="1"/>
    <col min="225" max="225" customWidth="1" width="8.886719" style="1"/>
    <col min="226" max="226" customWidth="1" width="8.886719" style="1"/>
    <col min="227" max="227" customWidth="1" width="8.886719" style="1"/>
    <col min="228" max="228" customWidth="1" width="8.886719" style="1"/>
    <col min="229" max="229" customWidth="1" width="8.886719" style="1"/>
    <col min="230" max="230" customWidth="1" width="8.886719" style="1"/>
    <col min="231" max="231" customWidth="1" width="8.886719" style="1"/>
    <col min="232" max="232" customWidth="1" width="8.886719" style="1"/>
    <col min="233" max="233" customWidth="1" width="8.886719" style="1"/>
    <col min="234" max="234" customWidth="1" width="8.886719" style="1"/>
    <col min="235" max="235" customWidth="1" width="8.886719" style="1"/>
    <col min="236" max="236" customWidth="1" width="8.886719" style="1"/>
    <col min="237" max="237" customWidth="1" width="8.886719" style="1"/>
    <col min="238" max="238" customWidth="1" width="8.886719" style="1"/>
    <col min="239" max="239" customWidth="1" width="8.886719" style="1"/>
    <col min="240" max="240" customWidth="1" width="8.886719" style="1"/>
    <col min="241" max="241" customWidth="1" width="8.886719" style="1"/>
    <col min="242" max="242" customWidth="1" width="8.886719" style="1"/>
    <col min="243" max="243" customWidth="1" width="8.886719" style="1"/>
    <col min="244" max="244" customWidth="1" width="8.886719" style="1"/>
    <col min="245" max="245" customWidth="1" width="8.886719" style="1"/>
    <col min="246" max="246" customWidth="1" width="8.886719" style="1"/>
    <col min="247" max="247" customWidth="1" width="8.886719" style="1"/>
    <col min="248" max="248" customWidth="1" width="8.886719" style="1"/>
    <col min="249" max="249" customWidth="1" width="8.886719" style="1"/>
    <col min="250" max="250" customWidth="1" width="8.886719" style="1"/>
    <col min="251" max="251" customWidth="1" width="8.886719" style="1"/>
    <col min="252" max="252" customWidth="1" width="8.886719" style="1"/>
    <col min="253" max="253" customWidth="1" width="8.886719" style="1"/>
    <col min="254" max="254" customWidth="1" width="8.886719" style="1"/>
    <col min="255" max="255" customWidth="1" width="8.886719" style="1"/>
    <col min="256" max="256" customWidth="1" width="8.886719" style="1"/>
    <col min="257" max="16384" width="9" style="0" hidden="0"/>
  </cols>
  <sheetData>
    <row r="1" spans="8:8" ht="7.2" customHeight="1"/>
    <row r="2" spans="8:8" ht="25.8" customHeight="1">
      <c r="B2" s="2" t="s">
        <v>14</v>
      </c>
      <c r="C2" s="51"/>
      <c r="D2" s="51"/>
      <c r="E2" s="51"/>
      <c r="F2" s="51"/>
      <c r="G2" s="51" t="s">
        <v>17</v>
      </c>
      <c r="H2" s="4"/>
      <c r="I2" s="4"/>
      <c r="J2" s="4"/>
      <c r="K2" s="5"/>
    </row>
    <row r="3" spans="8:8" ht="25.8" customHeight="1">
      <c r="B3" s="6" t="s">
        <v>15</v>
      </c>
      <c r="C3" s="52"/>
      <c r="D3" s="52"/>
      <c r="E3" s="52"/>
      <c r="F3" s="52"/>
      <c r="G3" s="52" t="s">
        <v>16</v>
      </c>
      <c r="H3" s="8"/>
      <c r="I3" s="8"/>
      <c r="J3" s="8"/>
      <c r="K3" s="9"/>
    </row>
    <row r="4" spans="8:8" ht="15.0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8:8" ht="31.2" customHeight="1">
      <c r="B5" s="13" t="s">
        <v>128</v>
      </c>
      <c r="C5" s="14"/>
      <c r="D5" s="14"/>
      <c r="E5" s="14"/>
      <c r="F5" s="14"/>
      <c r="G5" s="14"/>
      <c r="H5" s="14"/>
      <c r="I5" s="14"/>
      <c r="J5" s="14"/>
      <c r="K5" s="15"/>
    </row>
    <row r="6" spans="8:8" ht="23.4" customHeight="1">
      <c r="B6" s="16" t="s">
        <v>0</v>
      </c>
      <c r="C6" s="17" t="s">
        <v>1</v>
      </c>
      <c r="D6" s="17" t="s">
        <v>2</v>
      </c>
      <c r="E6" s="18" t="s">
        <v>3</v>
      </c>
      <c r="F6" s="19" t="s">
        <v>10</v>
      </c>
      <c r="G6" s="20"/>
      <c r="H6" s="21"/>
      <c r="I6" s="19" t="s">
        <v>11</v>
      </c>
      <c r="J6" s="20"/>
      <c r="K6" s="21"/>
    </row>
    <row r="7" spans="8:8" ht="27.6" customHeight="1">
      <c r="B7" s="72"/>
      <c r="C7" s="29"/>
      <c r="D7" s="29"/>
      <c r="E7" s="73"/>
      <c r="F7" s="53" t="s">
        <v>4</v>
      </c>
      <c r="G7" s="54" t="s">
        <v>5</v>
      </c>
      <c r="H7" s="74" t="s">
        <v>6</v>
      </c>
      <c r="I7" s="53" t="s">
        <v>7</v>
      </c>
      <c r="J7" s="54" t="s">
        <v>8</v>
      </c>
      <c r="K7" s="74" t="s">
        <v>9</v>
      </c>
    </row>
    <row r="8" spans="8:8" ht="29.4" customHeight="1">
      <c r="B8" s="55"/>
      <c r="C8" s="55" t="s">
        <v>32</v>
      </c>
      <c r="D8" s="55"/>
      <c r="E8" s="55">
        <v>1.0</v>
      </c>
      <c r="F8" s="55"/>
      <c r="G8" s="55">
        <v>1.5</v>
      </c>
      <c r="H8" s="55">
        <v>2.2</v>
      </c>
      <c r="I8" s="55"/>
      <c r="J8" s="55">
        <f t="shared" si="0" ref="J8:J10">MAX((H8*G8),1)</f>
        <v>3.3000000000000003</v>
      </c>
      <c r="K8" s="75">
        <f t="shared" si="1" ref="K8:K10">J8*E8</f>
        <v>3.3000000000000003</v>
      </c>
    </row>
    <row r="9" spans="8:8" ht="29.4" customHeight="1">
      <c r="B9" s="55"/>
      <c r="C9" s="55" t="s">
        <v>131</v>
      </c>
      <c r="D9" s="55"/>
      <c r="E9" s="55">
        <v>5.0</v>
      </c>
      <c r="F9" s="55"/>
      <c r="G9" s="55">
        <v>1.2</v>
      </c>
      <c r="H9" s="55">
        <v>1.2</v>
      </c>
      <c r="I9" s="55"/>
      <c r="J9" s="55">
        <f t="shared" si="0"/>
        <v>1.44</v>
      </c>
      <c r="K9" s="75">
        <f t="shared" si="1"/>
        <v>7.199999999999999</v>
      </c>
    </row>
    <row r="10" spans="8:8" ht="29.4" customHeight="1">
      <c r="B10" s="76"/>
      <c r="C10" s="76" t="s">
        <v>132</v>
      </c>
      <c r="D10" s="76"/>
      <c r="E10" s="76">
        <v>3.0</v>
      </c>
      <c r="F10" s="76"/>
      <c r="G10" s="76">
        <v>0.8</v>
      </c>
      <c r="H10" s="76">
        <v>0.8</v>
      </c>
      <c r="I10" s="76"/>
      <c r="J10" s="76">
        <f t="shared" si="0"/>
        <v>1.0</v>
      </c>
      <c r="K10" s="77">
        <f t="shared" si="1"/>
        <v>3.0</v>
      </c>
    </row>
    <row r="11" spans="8:8" ht="29.4" customHeight="1">
      <c r="B11" s="40"/>
      <c r="C11" s="41"/>
      <c r="D11" s="41"/>
      <c r="E11" s="41"/>
      <c r="F11" s="41"/>
      <c r="G11" s="41"/>
      <c r="H11" s="78"/>
      <c r="I11" s="42">
        <f>SUM(K8:K10)</f>
        <v>13.5</v>
      </c>
      <c r="J11" s="43"/>
      <c r="K11" s="44"/>
    </row>
    <row r="12" spans="8:8" ht="29.4" customHeight="1"/>
    <row r="13" spans="8:8" ht="29.4" customHeight="1"/>
    <row r="14" spans="8:8" ht="29.4" customHeight="1">
      <c r="H14" s="79"/>
      <c r="I14" s="79"/>
      <c r="J14" s="79"/>
      <c r="K14" s="79"/>
    </row>
    <row r="15" spans="8:8" ht="29.4" customHeight="1"/>
    <row r="16" spans="8:8" ht="29.4" customHeight="1"/>
    <row r="17" spans="8:8" ht="29.4" customHeight="1"/>
  </sheetData>
  <mergeCells count="11">
    <mergeCell ref="B11:H11"/>
    <mergeCell ref="I11:K11"/>
    <mergeCell ref="B6:B7"/>
    <mergeCell ref="C6:C7"/>
    <mergeCell ref="D6:D7"/>
    <mergeCell ref="E6:E7"/>
    <mergeCell ref="H2:K2"/>
    <mergeCell ref="H3:K3"/>
    <mergeCell ref="B5:K5"/>
    <mergeCell ref="F6:H6"/>
    <mergeCell ref="I6:K6"/>
  </mergeCells>
  <printOptions horizontalCentered="1"/>
  <pageMargins left="0.7" right="0.7" top="0.75" bottom="0.75" header="0.3" footer="0.3"/>
  <pageSetup paperSize="9" scale="38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Hesham</dc:creator>
  <cp:lastModifiedBy>Hesham</cp:lastModifiedBy>
  <dcterms:created xsi:type="dcterms:W3CDTF">2015-06-05T16:17:20Z</dcterms:created>
  <dcterms:modified xsi:type="dcterms:W3CDTF">2023-02-23T12:46:33Z</dcterms:modified>
</cp:coreProperties>
</file>